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f1bc5dc21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总览" sheetId="1" r:id="R7194a3ad30dc4fa9"/>
    <x:sheet xmlns:r="http://schemas.openxmlformats.org/officeDocument/2006/relationships" name="工程量计价" sheetId="2" r:id="Rd008f6ad84a8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.0000"/>
  </x:numFmts>
  <x:fonts count="12">
    <x:font>
      <x:sz val="11"/>
      <x:name val="Carlito"/>
    </x:font>
    <x:font>
      <x:sz val="11"/>
      <x:color rgb="FF263A30"/>
      <x:name val="Arial"/>
    </x:font>
    <x:font>
      <x:sz val="17"/>
      <x:color rgb="FF263A30"/>
      <x:name val="Arial"/>
    </x:font>
    <x:font>
      <x:sz val="10"/>
      <x:color rgb="FF7D8178"/>
      <x:name val="Arial"/>
    </x:font>
    <x:font>
      <x:b/>
      <x:sz val="11"/>
      <x:color rgb="FFFFFFFF"/>
      <x:name val="Arial"/>
    </x:font>
    <x:font>
      <x:sz val="11"/>
      <x:color rgb="FF1D5CBD"/>
      <x:name val="Arial"/>
    </x:font>
    <x:font>
      <x:b/>
      <x:sz val="12"/>
      <x:color rgb="FF263A30"/>
      <x:name val="Arial"/>
    </x:font>
    <x:font>
      <x:sz val="10"/>
      <x:color rgb="FF777B70"/>
      <x:name val="Arial"/>
    </x:font>
    <x:font>
      <x:sz val="10"/>
      <x:color rgb="FF24382E"/>
      <x:name val="Arial"/>
    </x:font>
    <x:font>
      <x:sz val="15"/>
      <x:color rgb="FF263A30"/>
      <x:name val="Arial"/>
    </x:font>
    <x:font>
      <x:b/>
      <x:sz val="10"/>
      <x:color rgb="FFFFFFFF"/>
      <x:name val="Arial"/>
    </x:font>
    <x:font>
      <x:sz val="10"/>
      <x:color rgb="FF1D5CB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5D4E"/>
      </x:patternFill>
    </x:fill>
    <x:fill>
      <x:patternFill patternType="solid">
        <x:fgColor rgb="FFE7EBDD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E9472"/>
      </x:top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/>
    <x:xf numFmtId="0" fontId="10" fillId="2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0" xfId="0" applyNumberFormat="1" applyFont="1" applyFill="1" applyBorder="1"/>
    <x:xf numFmtId="202" fontId="11" fillId="0" borderId="0" xfId="0" applyNumberFormat="1" applyFont="1" applyFill="1" applyBorder="1"/>
    <x:xf numFmtId="201" fontId="11" fillId="0" borderId="0" xfId="0" applyNumberFormat="1" applyFont="1" applyFill="1" applyBorder="1"/>
    <x:xf numFmtId="200" fontId="1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E3425"/>
      </x:font>
      <x:fill>
        <x:patternFill patternType="solid">
          <x:bgColor rgb="FFF7D8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4353e5f2745c0" /><Relationship Type="http://schemas.openxmlformats.org/officeDocument/2006/relationships/theme" Target="/xl/theme/theme1.xml" Id="Rb464e3b537de443b" /><Relationship Type="http://schemas.openxmlformats.org/officeDocument/2006/relationships/sharedStrings" Target="/xl/sharedStrings.xml" Id="R3cc03bd47e474623" /><Relationship Type="http://schemas.openxmlformats.org/officeDocument/2006/relationships/worksheet" Target="/xl/worksheets/sheet1.xml" Id="R7194a3ad30dc4fa9" /><Relationship Type="http://schemas.openxmlformats.org/officeDocument/2006/relationships/worksheet" Target="/xl/worksheets/sheet2.xml" Id="Rd008f6ad84a842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35D4E"/>
  </x:sheetPr>
  <x:sheetViews>
    <x:sheetView showGridLines="0" workbookViewId="0"/>
  </x:sheetViews>
  <x:sheetFormatPr defaultRowHeight="15"/>
  <x:cols>
    <x:col min="2" max="2" width="26" hidden="0" customWidth="1"/>
    <x:col min="3" max="3" width="20" hidden="0" customWidth="1"/>
    <x:col min="4" max="4" width="4" hidden="0" customWidth="1"/>
    <x:col min="5" max="5" width="64" hidden="0" customWidth="1"/>
  </x:cols>
  <x:sheetData>
    <x:row r="2">
      <x:c r="B2" s="2" t="str">
        <x:v>栖木之家 · 住宅设计预算</x:v>
      </x:c>
      <x:c r="C2" s="1"/>
      <x:c r="D2" s="1"/>
      <x:c r="E2" s="1"/>
      <x:c r="F2" s="1"/>
    </x:row>
    <x:row r="3">
      <x:c r="B3" s="3" t="str">
        <x:v>DEMO-APT-096 / v1.1 / CNY / 2026-10-26</x:v>
      </x:c>
      <x:c r="C3" s="3"/>
      <x:c r="D3" s="3"/>
      <x:c r="E3" s="3"/>
      <x:c r="F3" s="3"/>
    </x:row>
    <x:row r="4">
      <x:c r="B4" s="1"/>
      <x:c r="C4" s="1"/>
      <x:c r="D4" s="1"/>
      <x:c r="E4" s="1"/>
      <x:c r="F4" s="1"/>
    </x:row>
    <x:row r="5" ht="26" customHeight="1">
      <x:c r="B5" s="1" t="str">
        <x:v>目标总预算</x:v>
      </x:c>
      <x:c r="C5" s="7" t="n">
        <x:v>300000</x:v>
      </x:c>
      <x:c r="D5" s="1"/>
      <x:c r="E5" s="16" t="str">
        <x:v>蓝色数字为可调整输入</x:v>
      </x:c>
      <x:c r="F5" s="1"/>
    </x:row>
    <x:row r="6" ht="26" customHeight="1">
      <x:c r="B6" s="1" t="str">
        <x:v>预备费率</x:v>
      </x:c>
      <x:c r="C6" s="8" t="n">
        <x:v>0.1</x:v>
      </x:c>
      <x:c r="D6" s="1"/>
      <x:c r="E6" s="16"/>
      <x:c r="F6" s="1"/>
    </x:row>
    <x:row r="7">
      <x:c r="B7" s="1"/>
      <x:c r="C7" s="1"/>
      <x:c r="D7" s="1"/>
      <x:c r="E7" s="16"/>
      <x:c r="F7" s="1"/>
    </x:row>
    <x:row r="8">
      <x:c r="B8" s="1"/>
      <x:c r="C8" s="1"/>
      <x:c r="D8" s="1"/>
      <x:c r="E8" s="16"/>
      <x:c r="F8" s="1"/>
    </x:row>
    <x:row r="9" ht="29" customHeight="1">
      <x:c r="B9" s="5" t="str">
        <x:v>费用类别</x:v>
      </x:c>
      <x:c r="C9" s="5" t="str">
        <x:v>金额（元）</x:v>
      </x:c>
      <x:c r="D9" s="1"/>
      <x:c r="E9" s="16"/>
      <x:c r="F9" s="1"/>
    </x:row>
    <x:row r="10" ht="27" customHeight="1">
      <x:c r="B10" s="1" t="str">
        <x:v>硬装</x:v>
      </x:c>
      <x:c r="C10" s="9" t="n">
        <x:f>SUMIF('工程量计价'!$B$5:$B$44,B10,'工程量计价'!$I$5:$I$44)</x:f>
        <x:v>81758.18</x:v>
      </x:c>
      <x:c r="D10" s="1"/>
      <x:c r="E10" s="16"/>
      <x:c r="F10" s="1"/>
    </x:row>
    <x:row r="11" ht="27" customHeight="1">
      <x:c r="B11" s="1" t="str">
        <x:v>机电</x:v>
      </x:c>
      <x:c r="C11" s="9" t="n">
        <x:f>SUMIF('工程量计价'!$B$5:$B$44,B11,'工程量计价'!$I$5:$I$44)</x:f>
        <x:v>39900</x:v>
      </x:c>
      <x:c r="D11" s="1"/>
      <x:c r="E11" s="16"/>
      <x:c r="F11" s="1"/>
    </x:row>
    <x:row r="12" ht="27" customHeight="1">
      <x:c r="B12" s="1" t="str">
        <x:v>灯具</x:v>
      </x:c>
      <x:c r="C12" s="9" t="n">
        <x:f>SUMIF('工程量计价'!$B$5:$B$44,B12,'工程量计价'!$I$5:$I$44)</x:f>
        <x:v>9800</x:v>
      </x:c>
      <x:c r="D12" s="1"/>
      <x:c r="E12" s="16"/>
      <x:c r="F12" s="1"/>
    </x:row>
    <x:row r="13" ht="27" customHeight="1">
      <x:c r="B13" s="1" t="str">
        <x:v>定制</x:v>
      </x:c>
      <x:c r="C13" s="9" t="n">
        <x:f>SUMIF('工程量计价'!$B$5:$B$44,B13,'工程量计价'!$I$5:$I$44)</x:f>
        <x:v>44756</x:v>
      </x:c>
      <x:c r="D13" s="1"/>
      <x:c r="E13" s="16"/>
      <x:c r="F13" s="1"/>
    </x:row>
    <x:row r="14" ht="27" customHeight="1">
      <x:c r="B14" s="1" t="str">
        <x:v>软装</x:v>
      </x:c>
      <x:c r="C14" s="9" t="n">
        <x:f>SUMIF('工程量计价'!$B$5:$B$44,B14,'工程量计价'!$I$5:$I$44)</x:f>
        <x:v>40920</x:v>
      </x:c>
      <x:c r="D14" s="1"/>
      <x:c r="E14" s="16"/>
      <x:c r="F14" s="1"/>
    </x:row>
    <x:row r="15" ht="27" customHeight="1">
      <x:c r="B15" s="1" t="str">
        <x:v>家电洁具</x:v>
      </x:c>
      <x:c r="C15" s="9" t="n">
        <x:f>SUMIF('工程量计价'!$B$5:$B$44,B15,'工程量计价'!$I$5:$I$44)</x:f>
        <x:v>26100</x:v>
      </x:c>
      <x:c r="D15" s="1"/>
      <x:c r="E15" s="16"/>
      <x:c r="F15" s="1"/>
    </x:row>
    <x:row r="16" ht="27" customHeight="1">
      <x:c r="B16" s="1" t="str">
        <x:v>服务</x:v>
      </x:c>
      <x:c r="C16" s="9" t="n">
        <x:f>SUMIF('工程量计价'!$B$5:$B$44,B16,'工程量计价'!$I$5:$I$44)</x:f>
        <x:v>18500</x:v>
      </x:c>
      <x:c r="D16" s="1"/>
      <x:c r="E16" s="16"/>
      <x:c r="F16" s="1"/>
    </x:row>
    <x:row r="17" ht="27" customHeight="1">
      <x:c r="B17" s="1"/>
      <x:c r="C17" s="9"/>
      <x:c r="D17" s="1"/>
      <x:c r="E17" s="16"/>
      <x:c r="F17" s="1"/>
    </x:row>
    <x:row r="18" ht="27" customHeight="1">
      <x:c r="B18" s="1"/>
      <x:c r="C18" s="9"/>
      <x:c r="D18" s="1"/>
      <x:c r="E18" s="16"/>
      <x:c r="F18" s="1"/>
    </x:row>
    <x:row r="19" ht="27" customHeight="1">
      <x:c r="B19" s="10" t="str">
        <x:v>基础费用合计</x:v>
      </x:c>
      <x:c r="C19" s="11" t="n">
        <x:f>IF(COUNT('工程量计价'!I5:I44)=COUNTA('工程量计价'!A5:A44),SUM('工程量计价'!I5:I44),"缺少计价输入")</x:f>
        <x:v>261734.18</x:v>
      </x:c>
      <x:c r="D19" s="1"/>
      <x:c r="E19" s="16" t="str">
        <x:v>地面及顶面按模型计算；墙面、机电等暂估已在明细标注。</x:v>
      </x:c>
      <x:c r="F19" s="1"/>
    </x:row>
    <x:row r="20" ht="27" customHeight="1">
      <x:c r="B20" s="1" t="str">
        <x:v>预备费</x:v>
      </x:c>
      <x:c r="C20" s="9" t="n">
        <x:f>IF(AND(ISNUMBER(C19),ISNUMBER(C6)),ROUND(C19*C6,2),"缺少计价输入")</x:f>
        <x:v>26173.42</x:v>
      </x:c>
      <x:c r="D20" s="1"/>
      <x:c r="E20" s="16"/>
      <x:c r="F20" s="1"/>
    </x:row>
    <x:row r="21" ht="27" customHeight="1">
      <x:c r="B21" s="14" t="str">
        <x:v>含预备费总额</x:v>
      </x:c>
      <x:c r="C21" s="15" t="n">
        <x:f>IF(COUNT(C19:C20)=2,SUM(C19:C20),"缺少计价输入")</x:f>
        <x:v>287907.6</x:v>
      </x:c>
      <x:c r="D21" s="1"/>
      <x:c r="E21" s="16" t="str">
        <x:v>含硬装、机电、灯具、定制、软装、家电洁具与服务。</x:v>
      </x:c>
      <x:c r="F21" s="1"/>
    </x:row>
    <x:row r="22" ht="27" customHeight="1">
      <x:c r="B22" s="1" t="str">
        <x:v>预算余量</x:v>
      </x:c>
      <x:c r="C22" s="9" t="n">
        <x:f>IF(AND(ISNUMBER(C5),ISNUMBER(C21)),C5-C21,"缺少计价输入")</x:f>
        <x:v>12092.400000000023</x:v>
      </x:c>
      <x:c r="D22" s="1"/>
      <x:c r="E22" s="16" t="str">
        <x:v>不含购房、结构及燃气改造、原外窗及入户门更换。</x:v>
      </x:c>
      <x:c r="F22" s="1"/>
    </x:row>
    <x:row r="23">
      <x:c r="B23" s="1"/>
      <x:c r="C23" s="1"/>
      <x:c r="D23" s="1"/>
      <x:c r="E23" s="1"/>
      <x:c r="F23" s="1"/>
    </x:row>
  </x:sheetData>
  <x:conditionalFormatting sqref="C22:C22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E9472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31" hidden="0" customWidth="1"/>
    <x:col min="4" max="4" width="12" hidden="0" customWidth="1"/>
    <x:col min="5" max="5" width="9" hidden="0" customWidth="1"/>
    <x:col min="6" max="6" width="10" hidden="0" customWidth="1"/>
    <x:col min="7" max="7" width="13" hidden="0" customWidth="1"/>
    <x:col min="8" max="8" width="15" hidden="0" customWidth="1"/>
    <x:col min="9" max="9" width="17" hidden="0" customWidth="1"/>
    <x:col min="10" max="10" width="58" hidden="0" customWidth="1"/>
  </x:cols>
  <x:sheetData>
    <x:row r="2">
      <x:c r="A2" s="18" t="str">
        <x:v>工程量、损耗与单价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6" t="str">
        <x:v>单价均为示范估算参数，含税；来源与计量口径见J列。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 ht="30" customHeight="1">
      <x:c r="A4" s="20" t="str">
        <x:v>编号</x:v>
      </x:c>
      <x:c r="B4" s="20" t="str">
        <x:v>类别</x:v>
      </x:c>
      <x:c r="C4" s="20" t="str">
        <x:v>工作内容</x:v>
      </x:c>
      <x:c r="D4" s="20" t="str">
        <x:v>净量</x:v>
      </x:c>
      <x:c r="E4" s="20" t="str">
        <x:v>单位</x:v>
      </x:c>
      <x:c r="F4" s="20" t="str">
        <x:v>损耗率</x:v>
      </x:c>
      <x:c r="G4" s="20" t="str">
        <x:v>计价量</x:v>
      </x:c>
      <x:c r="H4" s="20" t="str">
        <x:v>单价（元）</x:v>
      </x:c>
      <x:c r="I4" s="20" t="str">
        <x:v>金额（元）</x:v>
      </x:c>
      <x:c r="J4" s="20" t="str">
        <x:v>计量依据</x:v>
      </x:c>
    </x:row>
    <x:row r="5" ht="32" customHeight="1">
      <x:c r="A5" s="17" t="str">
        <x:v>B01</x:v>
      </x:c>
      <x:c r="B5" s="17" t="str">
        <x:v>硬装</x:v>
      </x:c>
      <x:c r="C5" s="17" t="str">
        <x:v>干区复合地板含安装</x:v>
      </x:c>
      <x:c r="D5" s="25" t="n">
        <x:v>74.1336</x:v>
      </x:c>
      <x:c r="E5" s="17" t="str">
        <x:v>㎡</x:v>
      </x:c>
      <x:c r="F5" s="26" t="n">
        <x:v>0.05</x:v>
      </x:c>
      <x:c r="G5" s="22" t="n">
        <x:f>IF(COUNT(D5,F5)=2,ROUND(D5*(1+F5),4),"缺少输入")</x:f>
        <x:v>77.8403</x:v>
      </x:c>
      <x:c r="H5" s="27" t="n">
        <x:v>245</x:v>
      </x:c>
      <x:c r="I5" s="24" t="n">
        <x:f>IF(COUNT(G5,H5)=2,ROUND(G5*H5,2),"缺少输入")</x:f>
        <x:v>19070.87</x:v>
      </x:c>
      <x:c r="J5" s="21" t="str">
        <x:v>房间净面积合计，柜下满铺</x:v>
      </x:c>
    </x:row>
    <x:row r="6" ht="32" customHeight="1">
      <x:c r="A6" s="17" t="str">
        <x:v>B02</x:v>
      </x:c>
      <x:c r="B6" s="17" t="str">
        <x:v>硬装</x:v>
      </x:c>
      <x:c r="C6" s="17" t="str">
        <x:v>厨卫地砖含安装</x:v>
      </x:c>
      <x:c r="D6" s="25" t="n">
        <x:v>18.4008</x:v>
      </x:c>
      <x:c r="E6" s="17" t="str">
        <x:v>㎡</x:v>
      </x:c>
      <x:c r="F6" s="26" t="n">
        <x:v>0.08</x:v>
      </x:c>
      <x:c r="G6" s="22" t="n">
        <x:f>IF(COUNT(D6,F6)=2,ROUND(D6*(1+F6),4),"缺少输入")</x:f>
        <x:v>19.8729</x:v>
      </x:c>
      <x:c r="H6" s="27" t="n">
        <x:v>240</x:v>
      </x:c>
      <x:c r="I6" s="24" t="n">
        <x:f>IF(COUNT(G6,H6)=2,ROUND(G6*H6,2),"缺少输入")</x:f>
        <x:v>4769.5</x:v>
      </x:c>
      <x:c r="J6" s="21" t="str">
        <x:v>R02与R06净面积，不与墙砖重复</x:v>
      </x:c>
    </x:row>
    <x:row r="7" ht="32" customHeight="1">
      <x:c r="A7" s="17" t="str">
        <x:v>B03</x:v>
      </x:c>
      <x:c r="B7" s="17" t="str">
        <x:v>硬装</x:v>
      </x:c>
      <x:c r="C7" s="17" t="str">
        <x:v>顶面基层及涂装</x:v>
      </x:c>
      <x:c r="D7" s="25" t="n">
        <x:v>92.5344</x:v>
      </x:c>
      <x:c r="E7" s="17" t="str">
        <x:v>㎡</x:v>
      </x:c>
      <x:c r="F7" s="26" t="n">
        <x:v>0</x:v>
      </x:c>
      <x:c r="G7" s="22" t="n">
        <x:f>IF(COUNT(D7,F7)=2,ROUND(D7*(1+F7),4),"缺少输入")</x:f>
        <x:v>92.5344</x:v>
      </x:c>
      <x:c r="H7" s="27" t="n">
        <x:v>135</x:v>
      </x:c>
      <x:c r="I7" s="24" t="n">
        <x:f>IF(COUNT(G7,H7)=2,ROUND(G7*H7,2),"缺少输入")</x:f>
        <x:v>12492.14</x:v>
      </x:c>
      <x:c r="J7" s="21" t="str">
        <x:v>净分区面积，厨卫耐湿体系另列</x:v>
      </x:c>
    </x:row>
    <x:row r="8" ht="32" customHeight="1">
      <x:c r="A8" s="17" t="str">
        <x:v>B04</x:v>
      </x:c>
      <x:c r="B8" s="17" t="str">
        <x:v>硬装</x:v>
      </x:c>
      <x:c r="C8" s="17" t="str">
        <x:v>干区墙面基层与涂装</x:v>
      </x:c>
      <x:c r="D8" s="25" t="n">
        <x:v>178</x:v>
      </x:c>
      <x:c r="E8" s="17" t="str">
        <x:v>㎡</x:v>
      </x:c>
      <x:c r="F8" s="26" t="n">
        <x:v>0</x:v>
      </x:c>
      <x:c r="G8" s="22" t="n">
        <x:f>IF(COUNT(D8,F8)=2,ROUND(D8*(1+F8),4),"缺少输入")</x:f>
        <x:v>178</x:v>
      </x:c>
      <x:c r="H8" s="27" t="n">
        <x:v>68</x:v>
      </x:c>
      <x:c r="I8" s="24" t="n">
        <x:f>IF(COUNT(G8,H8)=2,ROUND(G8*H8,2),"缺少输入")</x:f>
        <x:v>12104</x:v>
      </x:c>
      <x:c r="J8" s="21" t="str">
        <x:v>墙面展开估量，详见06；现场复尺后替换</x:v>
      </x:c>
    </x:row>
    <x:row r="9" ht="32" customHeight="1">
      <x:c r="A9" s="17" t="str">
        <x:v>B05</x:v>
      </x:c>
      <x:c r="B9" s="17" t="str">
        <x:v>硬装</x:v>
      </x:c>
      <x:c r="C9" s="17" t="str">
        <x:v>卫浴墙砖</x:v>
      </x:c>
      <x:c r="D9" s="25" t="n">
        <x:v>24.5</x:v>
      </x:c>
      <x:c r="E9" s="17" t="str">
        <x:v>㎡</x:v>
      </x:c>
      <x:c r="F9" s="26" t="n">
        <x:v>0.08</x:v>
      </x:c>
      <x:c r="G9" s="22" t="n">
        <x:f>IF(COUNT(D9,F9)=2,ROUND(D9*(1+F9),4),"缺少输入")</x:f>
        <x:v>26.46</x:v>
      </x:c>
      <x:c r="H9" s="27" t="n">
        <x:v>245</x:v>
      </x:c>
      <x:c r="I9" s="24" t="n">
        <x:f>IF(COUNT(G9,H9)=2,ROUND(G9*H9,2),"缺少输入")</x:f>
        <x:v>6482.7</x:v>
      </x:c>
      <x:c r="J9" s="21" t="str">
        <x:v>估量：实墙面展开扣门窗，非地砖</x:v>
      </x:c>
    </x:row>
    <x:row r="10" ht="32" customHeight="1">
      <x:c r="A10" s="17" t="str">
        <x:v>B06</x:v>
      </x:c>
      <x:c r="B10" s="17" t="str">
        <x:v>硬装</x:v>
      </x:c>
      <x:c r="C10" s="17" t="str">
        <x:v>厨房背板墙砖</x:v>
      </x:c>
      <x:c r="D10" s="25" t="n">
        <x:v>4.7</x:v>
      </x:c>
      <x:c r="E10" s="17" t="str">
        <x:v>㎡</x:v>
      </x:c>
      <x:c r="F10" s="26" t="n">
        <x:v>0.08</x:v>
      </x:c>
      <x:c r="G10" s="22" t="n">
        <x:f>IF(COUNT(D10,F10)=2,ROUND(D10*(1+F10),4),"缺少输入")</x:f>
        <x:v>5.076</x:v>
      </x:c>
      <x:c r="H10" s="27" t="n">
        <x:v>220</x:v>
      </x:c>
      <x:c r="I10" s="24" t="n">
        <x:f>IF(COUNT(G10,H10)=2,ROUND(G10*H10,2),"缺少输入")</x:f>
        <x:v>1116.72</x:v>
      </x:c>
      <x:c r="J10" s="21" t="str">
        <x:v>台面长度×0.6m，高柜区域扣除</x:v>
      </x:c>
    </x:row>
    <x:row r="11" ht="32" customHeight="1">
      <x:c r="A11" s="17" t="str">
        <x:v>B07</x:v>
      </x:c>
      <x:c r="B11" s="17" t="str">
        <x:v>硬装</x:v>
      </x:c>
      <x:c r="C11" s="17" t="str">
        <x:v>卫浴防水与找坡基层</x:v>
      </x:c>
      <x:c r="D11" s="25" t="n">
        <x:v>25</x:v>
      </x:c>
      <x:c r="E11" s="17" t="str">
        <x:v>㎡</x:v>
      </x:c>
      <x:c r="F11" s="26" t="n">
        <x:v>0</x:v>
      </x:c>
      <x:c r="G11" s="22" t="n">
        <x:f>IF(COUNT(D11,F11)=2,ROUND(D11*(1+F11),4),"缺少输入")</x:f>
        <x:v>25</x:v>
      </x:c>
      <x:c r="H11" s="27" t="n">
        <x:v>95</x:v>
      </x:c>
      <x:c r="I11" s="24" t="n">
        <x:f>IF(COUNT(G11,H11)=2,ROUND(G11*H11,2),"缺少输入")</x:f>
        <x:v>2375</x:v>
      </x:c>
      <x:c r="J11" s="21" t="str">
        <x:v>地面加墙面设计估量，淋浴高度待专业深化</x:v>
      </x:c>
    </x:row>
    <x:row r="12" ht="32" customHeight="1">
      <x:c r="A12" s="17" t="str">
        <x:v>B08</x:v>
      </x:c>
      <x:c r="B12" s="17" t="str">
        <x:v>硬装</x:v>
      </x:c>
      <x:c r="C12" s="17" t="str">
        <x:v>干区踢脚及收口</x:v>
      </x:c>
      <x:c r="D12" s="25" t="n">
        <x:v>48</x:v>
      </x:c>
      <x:c r="E12" s="17" t="str">
        <x:v>m</x:v>
      </x:c>
      <x:c r="F12" s="26" t="n">
        <x:v>0</x:v>
      </x:c>
      <x:c r="G12" s="22" t="n">
        <x:f>IF(COUNT(D12,F12)=2,ROUND(D12*(1+F12),4),"缺少输入")</x:f>
        <x:v>48</x:v>
      </x:c>
      <x:c r="H12" s="27" t="n">
        <x:v>68</x:v>
      </x:c>
      <x:c r="I12" s="24" t="n">
        <x:f>IF(COUNT(G12,H12)=2,ROUND(G12*H12,2),"缺少输入")</x:f>
        <x:v>3264</x:v>
      </x:c>
      <x:c r="J12" s="21" t="str">
        <x:v>净长度估量，门洞及柜体端部复尺</x:v>
      </x:c>
    </x:row>
    <x:row r="13" ht="32" customHeight="1">
      <x:c r="A13" s="17" t="str">
        <x:v>B09</x:v>
      </x:c>
      <x:c r="B13" s="17" t="str">
        <x:v>硬装</x:v>
      </x:c>
      <x:c r="C13" s="17" t="str">
        <x:v>室内门及五金</x:v>
      </x:c>
      <x:c r="D13" s="25" t="n">
        <x:v>5</x:v>
      </x:c>
      <x:c r="E13" s="17" t="str">
        <x:v>套</x:v>
      </x:c>
      <x:c r="F13" s="26" t="n">
        <x:v>0</x:v>
      </x:c>
      <x:c r="G13" s="22" t="n">
        <x:f>IF(COUNT(D13,F13)=2,ROUND(D13*(1+F13),4),"缺少输入")</x:f>
        <x:v>5</x:v>
      </x:c>
      <x:c r="H13" s="27" t="n">
        <x:v>2300</x:v>
      </x:c>
      <x:c r="I13" s="24" t="n">
        <x:f>IF(COUNT(G13,H13)=2,ROUND(G13*H13,2),"缺少输入")</x:f>
        <x:v>11500</x:v>
      </x:c>
      <x:c r="J13" s="21" t="str">
        <x:v>D02-D06，入户门保留</x:v>
      </x:c>
    </x:row>
    <x:row r="14" ht="32" customHeight="1">
      <x:c r="A14" s="17" t="str">
        <x:v>B10</x:v>
      </x:c>
      <x:c r="B14" s="17" t="str">
        <x:v>硬装</x:v>
      </x:c>
      <x:c r="C14" s="17" t="str">
        <x:v>淋浴玻璃隔断</x:v>
      </x:c>
      <x:c r="D14" s="25" t="n">
        <x:v>2.94</x:v>
      </x:c>
      <x:c r="E14" s="17" t="str">
        <x:v>㎡</x:v>
      </x:c>
      <x:c r="F14" s="26" t="n">
        <x:v>0</x:v>
      </x:c>
      <x:c r="G14" s="22" t="n">
        <x:f>IF(COUNT(D14,F14)=2,ROUND(D14*(1+F14),4),"缺少输入")</x:f>
        <x:v>2.94</x:v>
      </x:c>
      <x:c r="H14" s="27" t="n">
        <x:v>880</x:v>
      </x:c>
      <x:c r="I14" s="24" t="n">
        <x:f>IF(COUNT(G14,H14)=2,ROUND(G14*H14,2),"缺少输入")</x:f>
        <x:v>2587.2</x:v>
      </x:c>
      <x:c r="J14" s="21" t="str">
        <x:v>1400×2100，五金含在单价</x:v>
      </x:c>
    </x:row>
    <x:row r="15" ht="32" customHeight="1">
      <x:c r="A15" s="17" t="str">
        <x:v>B11</x:v>
      </x:c>
      <x:c r="B15" s="17" t="str">
        <x:v>硬装</x:v>
      </x:c>
      <x:c r="C15" s="17" t="str">
        <x:v>厨卫耐湿顶面增量</x:v>
      </x:c>
      <x:c r="D15" s="25" t="n">
        <x:v>18.4008</x:v>
      </x:c>
      <x:c r="E15" s="17" t="str">
        <x:v>㎡</x:v>
      </x:c>
      <x:c r="F15" s="26" t="n">
        <x:v>0</x:v>
      </x:c>
      <x:c r="G15" s="22" t="n">
        <x:f>IF(COUNT(D15,F15)=2,ROUND(D15*(1+F15),4),"缺少输入")</x:f>
        <x:v>18.4008</x:v>
      </x:c>
      <x:c r="H15" s="27" t="n">
        <x:v>65</x:v>
      </x:c>
      <x:c r="I15" s="24" t="n">
        <x:f>IF(COUNT(G15,H15)=2,ROUND(G15*H15,2),"缺少输入")</x:f>
        <x:v>1196.05</x:v>
      </x:c>
      <x:c r="J15" s="21" t="str">
        <x:v>相对B03的增量，不重复基础</x:v>
      </x:c>
    </x:row>
    <x:row r="16" ht="32" customHeight="1">
      <x:c r="A16" s="17" t="str">
        <x:v>B12</x:v>
      </x:c>
      <x:c r="B16" s="17" t="str">
        <x:v>硬装</x:v>
      </x:c>
      <x:c r="C16" s="17" t="str">
        <x:v>成品保护与清运</x:v>
      </x:c>
      <x:c r="D16" s="25" t="n">
        <x:v>1</x:v>
      </x:c>
      <x:c r="E16" s="17" t="str">
        <x:v>项</x:v>
      </x:c>
      <x:c r="F16" s="26" t="n">
        <x:v>0</x:v>
      </x:c>
      <x:c r="G16" s="22" t="n">
        <x:f>IF(COUNT(D16,F16)=2,ROUND(D16*(1+F16),4),"缺少输入")</x:f>
        <x:v>1</x:v>
      </x:c>
      <x:c r="H16" s="27" t="n">
        <x:v>4800</x:v>
      </x:c>
      <x:c r="I16" s="24" t="n">
        <x:f>IF(COUNT(G16,H16)=2,ROUND(G16*H16,2),"缺少输入")</x:f>
        <x:v>4800</x:v>
      </x:c>
      <x:c r="J16" s="21" t="str">
        <x:v>设计估算</x:v>
      </x:c>
    </x:row>
    <x:row r="17" ht="32" customHeight="1">
      <x:c r="A17" s="17" t="str">
        <x:v>B13</x:v>
      </x:c>
      <x:c r="B17" s="17" t="str">
        <x:v>机电</x:v>
      </x:c>
      <x:c r="C17" s="17" t="str">
        <x:v>电气点位施工暂估</x:v>
      </x:c>
      <x:c r="D17" s="25" t="n">
        <x:v>1</x:v>
      </x:c>
      <x:c r="E17" s="17" t="str">
        <x:v>项</x:v>
      </x:c>
      <x:c r="F17" s="26" t="n">
        <x:v>0</x:v>
      </x:c>
      <x:c r="G17" s="22" t="n">
        <x:f>IF(COUNT(D17,F17)=2,ROUND(D17*(1+F17),4),"缺少输入")</x:f>
        <x:v>1</x:v>
      </x:c>
      <x:c r="H17" s="27" t="n">
        <x:v>13500</x:v>
      </x:c>
      <x:c r="I17" s="24" t="n">
        <x:f>IF(COUNT(G17,H17)=2,ROUND(G17*H17,2),"缺少输入")</x:f>
        <x:v>13500</x:v>
      </x:c>
      <x:c r="J17" s="21" t="str">
        <x:v>不含灯具和家电，待专业系统深化</x:v>
      </x:c>
    </x:row>
    <x:row r="18" ht="32" customHeight="1">
      <x:c r="A18" s="17" t="str">
        <x:v>B14</x:v>
      </x:c>
      <x:c r="B18" s="17" t="str">
        <x:v>机电</x:v>
      </x:c>
      <x:c r="C18" s="17" t="str">
        <x:v>给排水改造暂估</x:v>
      </x:c>
      <x:c r="D18" s="25" t="n">
        <x:v>1</x:v>
      </x:c>
      <x:c r="E18" s="17" t="str">
        <x:v>项</x:v>
      </x:c>
      <x:c r="F18" s="26" t="n">
        <x:v>0</x:v>
      </x:c>
      <x:c r="G18" s="22" t="n">
        <x:f>IF(COUNT(D18,F18)=2,ROUND(D18*(1+F18),4),"缺少输入")</x:f>
        <x:v>1</x:v>
      </x:c>
      <x:c r="H18" s="27" t="n">
        <x:v>7800</x:v>
      </x:c>
      <x:c r="I18" s="24" t="n">
        <x:f>IF(COUNT(G18,H18)=2,ROUND(G18*H18,2),"缺少输入")</x:f>
        <x:v>7800</x:v>
      </x:c>
      <x:c r="J18" s="21" t="str">
        <x:v>保留原立管，不含洁具</x:v>
      </x:c>
    </x:row>
    <x:row r="19" ht="32" customHeight="1">
      <x:c r="A19" s="17" t="str">
        <x:v>B15</x:v>
      </x:c>
      <x:c r="B19" s="17" t="str">
        <x:v>机电</x:v>
      </x:c>
      <x:c r="C19" s="17" t="str">
        <x:v>分体空调供装</x:v>
      </x:c>
      <x:c r="D19" s="25" t="n">
        <x:v>4</x:v>
      </x:c>
      <x:c r="E19" s="17" t="str">
        <x:v>套</x:v>
      </x:c>
      <x:c r="F19" s="26" t="n">
        <x:v>0</x:v>
      </x:c>
      <x:c r="G19" s="22" t="n">
        <x:f>IF(COUNT(D19,F19)=2,ROUND(D19*(1+F19),4),"缺少输入")</x:f>
        <x:v>4</x:v>
      </x:c>
      <x:c r="H19" s="27" t="n">
        <x:v>4200</x:v>
      </x:c>
      <x:c r="I19" s="24" t="n">
        <x:f>IF(COUNT(G19,H19)=2,ROUND(G19*H19,2),"缺少输入")</x:f>
        <x:v>16800</x:v>
      </x:c>
      <x:c r="J19" s="21" t="str">
        <x:v>含机组安装基本配置，超长管另核</x:v>
      </x:c>
    </x:row>
    <x:row r="20" ht="32" customHeight="1">
      <x:c r="A20" s="17" t="str">
        <x:v>B16</x:v>
      </x:c>
      <x:c r="B20" s="17" t="str">
        <x:v>机电</x:v>
      </x:c>
      <x:c r="C20" s="17" t="str">
        <x:v>卫浴排风与风口</x:v>
      </x:c>
      <x:c r="D20" s="25" t="n">
        <x:v>1</x:v>
      </x:c>
      <x:c r="E20" s="17" t="str">
        <x:v>项</x:v>
      </x:c>
      <x:c r="F20" s="26" t="n">
        <x:v>0</x:v>
      </x:c>
      <x:c r="G20" s="22" t="n">
        <x:f>IF(COUNT(D20,F20)=2,ROUND(D20*(1+F20),4),"缺少输入")</x:f>
        <x:v>1</x:v>
      </x:c>
      <x:c r="H20" s="27" t="n">
        <x:v>1800</x:v>
      </x:c>
      <x:c r="I20" s="24" t="n">
        <x:f>IF(COUNT(G20,H20)=2,ROUND(G20*H20,2),"缺少输入")</x:f>
        <x:v>1800</x:v>
      </x:c>
      <x:c r="J20" s="21" t="str">
        <x:v>原风道接入条件待核</x:v>
      </x:c>
    </x:row>
    <x:row r="21" ht="32" customHeight="1">
      <x:c r="A21" s="17" t="str">
        <x:v>B17</x:v>
      </x:c>
      <x:c r="B21" s="17" t="str">
        <x:v>灯具</x:v>
      </x:c>
      <x:c r="C21" s="17" t="str">
        <x:v>全部灯具与驱动</x:v>
      </x:c>
      <x:c r="D21" s="25" t="n">
        <x:v>1</x:v>
      </x:c>
      <x:c r="E21" s="17" t="str">
        <x:v>项</x:v>
      </x:c>
      <x:c r="F21" s="26" t="n">
        <x:v>0</x:v>
      </x:c>
      <x:c r="G21" s="22" t="n">
        <x:f>IF(COUNT(D21,F21)=2,ROUND(D21*(1+F21),4),"缺少输入")</x:f>
        <x:v>1</x:v>
      </x:c>
      <x:c r="H21" s="27" t="n">
        <x:v>9800</x:v>
      </x:c>
      <x:c r="I21" s="24" t="n">
        <x:f>IF(COUNT(G21,H21)=2,ROUND(G21*H21,2),"缺少输入")</x:f>
        <x:v>9800</x:v>
      </x:c>
      <x:c r="J21" s="21" t="str">
        <x:v>灯具表28盏/条，控制器包含</x:v>
      </x:c>
    </x:row>
    <x:row r="22" ht="32" customHeight="1">
      <x:c r="A22" s="17" t="str">
        <x:v>B18</x:v>
      </x:c>
      <x:c r="B22" s="17" t="str">
        <x:v>定制</x:v>
      </x:c>
      <x:c r="C22" s="17" t="str">
        <x:v>主卧衣柜</x:v>
      </x:c>
      <x:c r="D22" s="25" t="n">
        <x:v>5.76</x:v>
      </x:c>
      <x:c r="E22" s="17" t="str">
        <x:v>㎡</x:v>
      </x:c>
      <x:c r="F22" s="26" t="n">
        <x:v>0</x:v>
      </x:c>
      <x:c r="G22" s="22" t="n">
        <x:f>IF(COUNT(D22,F22)=2,ROUND(D22*(1+F22),4),"缺少输入")</x:f>
        <x:v>5.76</x:v>
      </x:c>
      <x:c r="H22" s="27" t="n">
        <x:v>1100</x:v>
      </x:c>
      <x:c r="I22" s="24" t="n">
        <x:f>IF(COUNT(G22,H22)=2,ROUND(G22*H22,2),"缺少输入")</x:f>
        <x:v>6336</x:v>
      </x:c>
      <x:c r="J22" s="21" t="str">
        <x:v>2.4×2.4投影，侧板和五金含</x:v>
      </x:c>
    </x:row>
    <x:row r="23" ht="32" customHeight="1">
      <x:c r="A23" s="17" t="str">
        <x:v>B19</x:v>
      </x:c>
      <x:c r="B23" s="17" t="str">
        <x:v>定制</x:v>
      </x:c>
      <x:c r="C23" s="17" t="str">
        <x:v>儿童衣柜</x:v>
      </x:c>
      <x:c r="D23" s="25" t="n">
        <x:v>5.04</x:v>
      </x:c>
      <x:c r="E23" s="17" t="str">
        <x:v>㎡</x:v>
      </x:c>
      <x:c r="F23" s="26" t="n">
        <x:v>0</x:v>
      </x:c>
      <x:c r="G23" s="22" t="n">
        <x:f>IF(COUNT(D23,F23)=2,ROUND(D23*(1+F23),4),"缺少输入")</x:f>
        <x:v>5.04</x:v>
      </x:c>
      <x:c r="H23" s="27" t="n">
        <x:v>1050</x:v>
      </x:c>
      <x:c r="I23" s="24" t="n">
        <x:f>IF(COUNT(G23,H23)=2,ROUND(G23*H23,2),"缺少输入")</x:f>
        <x:v>5292</x:v>
      </x:c>
      <x:c r="J23" s="21" t="str">
        <x:v>2.1×2.4投影</x:v>
      </x:c>
    </x:row>
    <x:row r="24" ht="32" customHeight="1">
      <x:c r="A24" s="17" t="str">
        <x:v>B20</x:v>
      </x:c>
      <x:c r="B24" s="17" t="str">
        <x:v>定制</x:v>
      </x:c>
      <x:c r="C24" s="17" t="str">
        <x:v>书房书柜</x:v>
      </x:c>
      <x:c r="D24" s="25" t="n">
        <x:v>5.04</x:v>
      </x:c>
      <x:c r="E24" s="17" t="str">
        <x:v>㎡</x:v>
      </x:c>
      <x:c r="F24" s="26" t="n">
        <x:v>0</x:v>
      </x:c>
      <x:c r="G24" s="22" t="n">
        <x:f>IF(COUNT(D24,F24)=2,ROUND(D24*(1+F24),4),"缺少输入")</x:f>
        <x:v>5.04</x:v>
      </x:c>
      <x:c r="H24" s="27" t="n">
        <x:v>950</x:v>
      </x:c>
      <x:c r="I24" s="24" t="n">
        <x:f>IF(COUNT(G24,H24)=2,ROUND(G24*H24,2),"缺少输入")</x:f>
        <x:v>4788</x:v>
      </x:c>
      <x:c r="J24" s="21" t="str">
        <x:v>2.1×2.4投影</x:v>
      </x:c>
    </x:row>
    <x:row r="25" ht="32" customHeight="1">
      <x:c r="A25" s="17" t="str">
        <x:v>B21</x:v>
      </x:c>
      <x:c r="B25" s="17" t="str">
        <x:v>定制</x:v>
      </x:c>
      <x:c r="C25" s="17" t="str">
        <x:v>玄关柜</x:v>
      </x:c>
      <x:c r="D25" s="25" t="n">
        <x:v>1.32</x:v>
      </x:c>
      <x:c r="E25" s="17" t="str">
        <x:v>㎡</x:v>
      </x:c>
      <x:c r="F25" s="26" t="n">
        <x:v>0</x:v>
      </x:c>
      <x:c r="G25" s="22" t="n">
        <x:f>IF(COUNT(D25,F25)=2,ROUND(D25*(1+F25),4),"缺少输入")</x:f>
        <x:v>1.32</x:v>
      </x:c>
      <x:c r="H25" s="27" t="n">
        <x:v>1100</x:v>
      </x:c>
      <x:c r="I25" s="24" t="n">
        <x:f>IF(COUNT(G25,H25)=2,ROUND(G25*H25,2),"缺少输入")</x:f>
        <x:v>1452</x:v>
      </x:c>
      <x:c r="J25" s="21" t="str">
        <x:v>0.55×2.4投影</x:v>
      </x:c>
    </x:row>
    <x:row r="26" ht="32" customHeight="1">
      <x:c r="A26" s="17" t="str">
        <x:v>B22</x:v>
      </x:c>
      <x:c r="B26" s="17" t="str">
        <x:v>定制</x:v>
      </x:c>
      <x:c r="C26" s="17" t="str">
        <x:v>餐边柜</x:v>
      </x:c>
      <x:c r="D26" s="25" t="n">
        <x:v>2</x:v>
      </x:c>
      <x:c r="E26" s="17" t="str">
        <x:v>m</x:v>
      </x:c>
      <x:c r="F26" s="26" t="n">
        <x:v>0</x:v>
      </x:c>
      <x:c r="G26" s="22" t="n">
        <x:f>IF(COUNT(D26,F26)=2,ROUND(D26*(1+F26),4),"缺少输入")</x:f>
        <x:v>2</x:v>
      </x:c>
      <x:c r="H26" s="27" t="n">
        <x:v>1800</x:v>
      </x:c>
      <x:c r="I26" s="24" t="n">
        <x:f>IF(COUNT(G26,H26)=2,ROUND(G26*H26,2),"缺少输入")</x:f>
        <x:v>3600</x:v>
      </x:c>
      <x:c r="J26" s="21" t="str">
        <x:v>长度计价，非投影面积</x:v>
      </x:c>
    </x:row>
    <x:row r="27" ht="32" customHeight="1">
      <x:c r="A27" s="17" t="str">
        <x:v>B23</x:v>
      </x:c>
      <x:c r="B27" s="17" t="str">
        <x:v>定制</x:v>
      </x:c>
      <x:c r="C27" s="17" t="str">
        <x:v>电视柜与床头柜</x:v>
      </x:c>
      <x:c r="D27" s="25" t="n">
        <x:v>1</x:v>
      </x:c>
      <x:c r="E27" s="17" t="str">
        <x:v>项</x:v>
      </x:c>
      <x:c r="F27" s="26" t="n">
        <x:v>0</x:v>
      </x:c>
      <x:c r="G27" s="22" t="n">
        <x:f>IF(COUNT(D27,F27)=2,ROUND(D27*(1+F27),4),"缺少输入")</x:f>
        <x:v>1</x:v>
      </x:c>
      <x:c r="H27" s="27" t="n">
        <x:v>5800</x:v>
      </x:c>
      <x:c r="I27" s="24" t="n">
        <x:f>IF(COUNT(G27,H27)=2,ROUND(G27*H27,2),"缺少输入")</x:f>
        <x:v>5800</x:v>
      </x:c>
      <x:c r="J27" s="21" t="str">
        <x:v>电视柜2.6m，床头柜两只</x:v>
      </x:c>
    </x:row>
    <x:row r="28" ht="32" customHeight="1">
      <x:c r="A28" s="17" t="str">
        <x:v>B24</x:v>
      </x:c>
      <x:c r="B28" s="17" t="str">
        <x:v>定制</x:v>
      </x:c>
      <x:c r="C28" s="17" t="str">
        <x:v>厨房地柜与台面</x:v>
      </x:c>
      <x:c r="D28" s="25" t="n">
        <x:v>4.48</x:v>
      </x:c>
      <x:c r="E28" s="17" t="str">
        <x:v>m</x:v>
      </x:c>
      <x:c r="F28" s="26" t="n">
        <x:v>0</x:v>
      </x:c>
      <x:c r="G28" s="22" t="n">
        <x:f>IF(COUNT(D28,F28)=2,ROUND(D28*(1+F28),4),"缺少输入")</x:f>
        <x:v>4.48</x:v>
      </x:c>
      <x:c r="H28" s="27" t="n">
        <x:v>3100</x:v>
      </x:c>
      <x:c r="I28" s="24" t="n">
        <x:f>IF(COUNT(G28,H28)=2,ROUND(G28*H28,2),"缺少输入")</x:f>
        <x:v>13888</x:v>
      </x:c>
      <x:c r="J28" s="21" t="str">
        <x:v>2.48+2.00，L角不重复</x:v>
      </x:c>
    </x:row>
    <x:row r="29" ht="32" customHeight="1">
      <x:c r="A29" s="17" t="str">
        <x:v>B25</x:v>
      </x:c>
      <x:c r="B29" s="17" t="str">
        <x:v>定制</x:v>
      </x:c>
      <x:c r="C29" s="17" t="str">
        <x:v>浴室柜与镜</x:v>
      </x:c>
      <x:c r="D29" s="25" t="n">
        <x:v>1.2</x:v>
      </x:c>
      <x:c r="E29" s="17" t="str">
        <x:v>m</x:v>
      </x:c>
      <x:c r="F29" s="26" t="n">
        <x:v>0</x:v>
      </x:c>
      <x:c r="G29" s="22" t="n">
        <x:f>IF(COUNT(D29,F29)=2,ROUND(D29*(1+F29),4),"缺少输入")</x:f>
        <x:v>1.2</x:v>
      </x:c>
      <x:c r="H29" s="27" t="n">
        <x:v>3000</x:v>
      </x:c>
      <x:c r="I29" s="24" t="n">
        <x:f>IF(COUNT(G29,H29)=2,ROUND(G29*H29,2),"缺少输入")</x:f>
        <x:v>3600</x:v>
      </x:c>
      <x:c r="J29" s="21" t="str">
        <x:v>沿墙长度1.2m</x:v>
      </x:c>
    </x:row>
    <x:row r="30" ht="32" customHeight="1">
      <x:c r="A30" s="17" t="str">
        <x:v>B26</x:v>
      </x:c>
      <x:c r="B30" s="17" t="str">
        <x:v>软装</x:v>
      </x:c>
      <x:c r="C30" s="17" t="str">
        <x:v>三人沙发</x:v>
      </x:c>
      <x:c r="D30" s="25" t="n">
        <x:v>1</x:v>
      </x:c>
      <x:c r="E30" s="17" t="str">
        <x:v>件</x:v>
      </x:c>
      <x:c r="F30" s="26" t="n">
        <x:v>0</x:v>
      </x:c>
      <x:c r="G30" s="22" t="n">
        <x:f>IF(COUNT(D30,F30)=2,ROUND(D30*(1+F30),4),"缺少输入")</x:f>
        <x:v>1</x:v>
      </x:c>
      <x:c r="H30" s="27" t="n">
        <x:v>6200</x:v>
      </x:c>
      <x:c r="I30" s="24" t="n">
        <x:f>IF(COUNT(G30,H30)=2,ROUND(G30*H30,2),"缺少输入")</x:f>
        <x:v>6200</x:v>
      </x:c>
      <x:c r="J30" s="21" t="str">
        <x:v>2600×900</x:v>
      </x:c>
    </x:row>
    <x:row r="31" ht="32" customHeight="1">
      <x:c r="A31" s="17" t="str">
        <x:v>B27</x:v>
      </x:c>
      <x:c r="B31" s="17" t="str">
        <x:v>软装</x:v>
      </x:c>
      <x:c r="C31" s="17" t="str">
        <x:v>茶几与单椅</x:v>
      </x:c>
      <x:c r="D31" s="25" t="n">
        <x:v>1</x:v>
      </x:c>
      <x:c r="E31" s="17" t="str">
        <x:v>组</x:v>
      </x:c>
      <x:c r="F31" s="26" t="n">
        <x:v>0</x:v>
      </x:c>
      <x:c r="G31" s="22" t="n">
        <x:f>IF(COUNT(D31,F31)=2,ROUND(D31*(1+F31),4),"缺少输入")</x:f>
        <x:v>1</x:v>
      </x:c>
      <x:c r="H31" s="27" t="n">
        <x:v>3200</x:v>
      </x:c>
      <x:c r="I31" s="24" t="n">
        <x:f>IF(COUNT(G31,H31)=2,ROUND(G31*H31,2),"缺少输入")</x:f>
        <x:v>3200</x:v>
      </x:c>
      <x:c r="J31" s="21" t="str">
        <x:v>两件合计</x:v>
      </x:c>
    </x:row>
    <x:row r="32" ht="32" customHeight="1">
      <x:c r="A32" s="17" t="str">
        <x:v>B28</x:v>
      </x:c>
      <x:c r="B32" s="17" t="str">
        <x:v>软装</x:v>
      </x:c>
      <x:c r="C32" s="17" t="str">
        <x:v>餐桌</x:v>
      </x:c>
      <x:c r="D32" s="25" t="n">
        <x:v>1</x:v>
      </x:c>
      <x:c r="E32" s="17" t="str">
        <x:v>件</x:v>
      </x:c>
      <x:c r="F32" s="26" t="n">
        <x:v>0</x:v>
      </x:c>
      <x:c r="G32" s="22" t="n">
        <x:f>IF(COUNT(D32,F32)=2,ROUND(D32*(1+F32),4),"缺少输入")</x:f>
        <x:v>1</x:v>
      </x:c>
      <x:c r="H32" s="27" t="n">
        <x:v>3200</x:v>
      </x:c>
      <x:c r="I32" s="24" t="n">
        <x:f>IF(COUNT(G32,H32)=2,ROUND(G32*H32,2),"缺少输入")</x:f>
        <x:v>3200</x:v>
      </x:c>
      <x:c r="J32" s="21" t="str">
        <x:v>修订为1400×800，分体运输；示范估算</x:v>
      </x:c>
    </x:row>
    <x:row r="33" ht="32" customHeight="1">
      <x:c r="A33" s="17" t="str">
        <x:v>B29</x:v>
      </x:c>
      <x:c r="B33" s="17" t="str">
        <x:v>软装</x:v>
      </x:c>
      <x:c r="C33" s="17" t="str">
        <x:v>餐椅</x:v>
      </x:c>
      <x:c r="D33" s="25" t="n">
        <x:v>4</x:v>
      </x:c>
      <x:c r="E33" s="17" t="str">
        <x:v>把</x:v>
      </x:c>
      <x:c r="F33" s="26" t="n">
        <x:v>0</x:v>
      </x:c>
      <x:c r="G33" s="22" t="n">
        <x:f>IF(COUNT(D33,F33)=2,ROUND(D33*(1+F33),4),"缺少输入")</x:f>
        <x:v>4</x:v>
      </x:c>
      <x:c r="H33" s="27" t="n">
        <x:v>680</x:v>
      </x:c>
      <x:c r="I33" s="24" t="n">
        <x:f>IF(COUNT(G33,H33)=2,ROUND(G33*H33,2),"缺少输入")</x:f>
        <x:v>2720</x:v>
      </x:c>
      <x:c r="J33" s="21" t="str">
        <x:v>四把</x:v>
      </x:c>
    </x:row>
    <x:row r="34" ht="32" customHeight="1">
      <x:c r="A34" s="17" t="str">
        <x:v>B30</x:v>
      </x:c>
      <x:c r="B34" s="17" t="str">
        <x:v>软装</x:v>
      </x:c>
      <x:c r="C34" s="17" t="str">
        <x:v>两卧床与床垫</x:v>
      </x:c>
      <x:c r="D34" s="25" t="n">
        <x:v>2</x:v>
      </x:c>
      <x:c r="E34" s="17" t="str">
        <x:v>套</x:v>
      </x:c>
      <x:c r="F34" s="26" t="n">
        <x:v>0</x:v>
      </x:c>
      <x:c r="G34" s="22" t="n">
        <x:f>IF(COUNT(D34,F34)=2,ROUND(D34*(1+F34),4),"缺少输入")</x:f>
        <x:v>2</x:v>
      </x:c>
      <x:c r="H34" s="27" t="n">
        <x:v>4300</x:v>
      </x:c>
      <x:c r="I34" s="24" t="n">
        <x:f>IF(COUNT(G34,H34)=2,ROUND(G34*H34,2),"缺少输入")</x:f>
        <x:v>8600</x:v>
      </x:c>
      <x:c r="J34" s="21" t="str">
        <x:v>主卧1800床、儿童1200床</x:v>
      </x:c>
    </x:row>
    <x:row r="35" ht="32" customHeight="1">
      <x:c r="A35" s="17" t="str">
        <x:v>B31</x:v>
      </x:c>
      <x:c r="B35" s="17" t="str">
        <x:v>软装</x:v>
      </x:c>
      <x:c r="C35" s="17" t="str">
        <x:v>双工作位与座椅</x:v>
      </x:c>
      <x:c r="D35" s="25" t="n">
        <x:v>1</x:v>
      </x:c>
      <x:c r="E35" s="17" t="str">
        <x:v>组</x:v>
      </x:c>
      <x:c r="F35" s="26" t="n">
        <x:v>0</x:v>
      </x:c>
      <x:c r="G35" s="22" t="n">
        <x:f>IF(COUNT(D35,F35)=2,ROUND(D35*(1+F35),4),"缺少输入")</x:f>
        <x:v>1</x:v>
      </x:c>
      <x:c r="H35" s="27" t="n">
        <x:v>5200</x:v>
      </x:c>
      <x:c r="I35" s="24" t="n">
        <x:f>IF(COUNT(G35,H35)=2,ROUND(G35*H35,2),"缺少输入")</x:f>
        <x:v>5200</x:v>
      </x:c>
      <x:c r="J35" s="21" t="str">
        <x:v>儿童桌与书房桌、椅各一</x:v>
      </x:c>
    </x:row>
    <x:row r="36" ht="32" customHeight="1">
      <x:c r="A36" s="17" t="str">
        <x:v>B32</x:v>
      </x:c>
      <x:c r="B36" s="17" t="str">
        <x:v>软装</x:v>
      </x:c>
      <x:c r="C36" s="17" t="str">
        <x:v>书房折叠沙发床</x:v>
      </x:c>
      <x:c r="D36" s="25" t="n">
        <x:v>1</x:v>
      </x:c>
      <x:c r="E36" s="17" t="str">
        <x:v>件</x:v>
      </x:c>
      <x:c r="F36" s="26" t="n">
        <x:v>0</x:v>
      </x:c>
      <x:c r="G36" s="22" t="n">
        <x:f>IF(COUNT(D36,F36)=2,ROUND(D36*(1+F36),4),"缺少输入")</x:f>
        <x:v>1</x:v>
      </x:c>
      <x:c r="H36" s="27" t="n">
        <x:v>2800</x:v>
      </x:c>
      <x:c r="I36" s="24" t="n">
        <x:f>IF(COUNT(G36,H36)=2,ROUND(G36*H36,2),"缺少输入")</x:f>
        <x:v>2800</x:v>
      </x:c>
      <x:c r="J36" s="21" t="str">
        <x:v>折叠1400×850</x:v>
      </x:c>
    </x:row>
    <x:row r="37" ht="32" customHeight="1">
      <x:c r="A37" s="17" t="str">
        <x:v>B33</x:v>
      </x:c>
      <x:c r="B37" s="17" t="str">
        <x:v>软装</x:v>
      </x:c>
      <x:c r="C37" s="17" t="str">
        <x:v>窗帘及轨道</x:v>
      </x:c>
      <x:c r="D37" s="25" t="n">
        <x:v>1</x:v>
      </x:c>
      <x:c r="E37" s="17" t="str">
        <x:v>项</x:v>
      </x:c>
      <x:c r="F37" s="26" t="n">
        <x:v>0</x:v>
      </x:c>
      <x:c r="G37" s="22" t="n">
        <x:f>IF(COUNT(D37,F37)=2,ROUND(D37*(1+F37),4),"缺少输入")</x:f>
        <x:v>1</x:v>
      </x:c>
      <x:c r="H37" s="27" t="n">
        <x:v>6200</x:v>
      </x:c>
      <x:c r="I37" s="24" t="n">
        <x:f>IF(COUNT(G37,H37)=2,ROUND(G37*H37,2),"缺少输入")</x:f>
        <x:v>6200</x:v>
      </x:c>
      <x:c r="J37" s="21" t="str">
        <x:v>按窗表配置，现场复尺</x:v>
      </x:c>
    </x:row>
    <x:row r="38" ht="32" customHeight="1">
      <x:c r="A38" s="17" t="str">
        <x:v>B34</x:v>
      </x:c>
      <x:c r="B38" s="17" t="str">
        <x:v>软装</x:v>
      </x:c>
      <x:c r="C38" s="17" t="str">
        <x:v>地毯及少量饰品</x:v>
      </x:c>
      <x:c r="D38" s="25" t="n">
        <x:v>1</x:v>
      </x:c>
      <x:c r="E38" s="17" t="str">
        <x:v>项</x:v>
      </x:c>
      <x:c r="F38" s="26" t="n">
        <x:v>0</x:v>
      </x:c>
      <x:c r="G38" s="22" t="n">
        <x:f>IF(COUNT(D38,F38)=2,ROUND(D38*(1+F38),4),"缺少输入")</x:f>
        <x:v>1</x:v>
      </x:c>
      <x:c r="H38" s="27" t="n">
        <x:v>2800</x:v>
      </x:c>
      <x:c r="I38" s="24" t="n">
        <x:f>IF(COUNT(G38,H38)=2,ROUND(G38*H38,2),"缺少输入")</x:f>
        <x:v>2800</x:v>
      </x:c>
      <x:c r="J38" s="21" t="str">
        <x:v>不另计装饰模型</x:v>
      </x:c>
    </x:row>
    <x:row r="39" ht="32" customHeight="1">
      <x:c r="A39" s="17" t="str">
        <x:v>B35</x:v>
      </x:c>
      <x:c r="B39" s="17" t="str">
        <x:v>家电洁具</x:v>
      </x:c>
      <x:c r="C39" s="17" t="str">
        <x:v>冰箱</x:v>
      </x:c>
      <x:c r="D39" s="25" t="n">
        <x:v>1</x:v>
      </x:c>
      <x:c r="E39" s="17" t="str">
        <x:v>台</x:v>
      </x:c>
      <x:c r="F39" s="26" t="n">
        <x:v>0</x:v>
      </x:c>
      <x:c r="G39" s="22" t="n">
        <x:f>IF(COUNT(D39,F39)=2,ROUND(D39*(1+F39),4),"缺少输入")</x:f>
        <x:v>1</x:v>
      </x:c>
      <x:c r="H39" s="27" t="n">
        <x:v>4200</x:v>
      </x:c>
      <x:c r="I39" s="24" t="n">
        <x:f>IF(COUNT(G39,H39)=2,ROUND(G39*H39,2),"缺少输入")</x:f>
        <x:v>4200</x:v>
      </x:c>
      <x:c r="J39" s="21" t="str">
        <x:v>750×750外包条件</x:v>
      </x:c>
    </x:row>
    <x:row r="40" ht="32" customHeight="1">
      <x:c r="A40" s="17" t="str">
        <x:v>B36</x:v>
      </x:c>
      <x:c r="B40" s="17" t="str">
        <x:v>家电洁具</x:v>
      </x:c>
      <x:c r="C40" s="17" t="str">
        <x:v>洗烘设备</x:v>
      </x:c>
      <x:c r="D40" s="25" t="n">
        <x:v>1</x:v>
      </x:c>
      <x:c r="E40" s="17" t="str">
        <x:v>组</x:v>
      </x:c>
      <x:c r="F40" s="26" t="n">
        <x:v>0</x:v>
      </x:c>
      <x:c r="G40" s="22" t="n">
        <x:f>IF(COUNT(D40,F40)=2,ROUND(D40*(1+F40),4),"缺少输入")</x:f>
        <x:v>1</x:v>
      </x:c>
      <x:c r="H40" s="27" t="n">
        <x:v>6500</x:v>
      </x:c>
      <x:c r="I40" s="24" t="n">
        <x:f>IF(COUNT(G40,H40)=2,ROUND(G40*H40,2),"缺少输入")</x:f>
        <x:v>6500</x:v>
      </x:c>
      <x:c r="J40" s="21" t="str">
        <x:v>叠放安装</x:v>
      </x:c>
    </x:row>
    <x:row r="41" ht="32" customHeight="1">
      <x:c r="A41" s="17" t="str">
        <x:v>B37</x:v>
      </x:c>
      <x:c r="B41" s="17" t="str">
        <x:v>家电洁具</x:v>
      </x:c>
      <x:c r="C41" s="17" t="str">
        <x:v>厨房电器及水槽</x:v>
      </x:c>
      <x:c r="D41" s="25" t="n">
        <x:v>1</x:v>
      </x:c>
      <x:c r="E41" s="17" t="str">
        <x:v>组</x:v>
      </x:c>
      <x:c r="F41" s="26" t="n">
        <x:v>0</x:v>
      </x:c>
      <x:c r="G41" s="22" t="n">
        <x:f>IF(COUNT(D41,F41)=2,ROUND(D41*(1+F41),4),"缺少输入")</x:f>
        <x:v>1</x:v>
      </x:c>
      <x:c r="H41" s="27" t="n">
        <x:v>8200</x:v>
      </x:c>
      <x:c r="I41" s="24" t="n">
        <x:f>IF(COUNT(G41,H41)=2,ROUND(G41*H41,2),"缺少输入")</x:f>
        <x:v>8200</x:v>
      </x:c>
      <x:c r="J41" s="21" t="str">
        <x:v>灶、油烟机、洗碗机、水槽，不含橱柜</x:v>
      </x:c>
    </x:row>
    <x:row r="42" ht="32" customHeight="1">
      <x:c r="A42" s="17" t="str">
        <x:v>B38</x:v>
      </x:c>
      <x:c r="B42" s="17" t="str">
        <x:v>家电洁具</x:v>
      </x:c>
      <x:c r="C42" s="17" t="str">
        <x:v>卫浴洁具与热水</x:v>
      </x:c>
      <x:c r="D42" s="25" t="n">
        <x:v>1</x:v>
      </x:c>
      <x:c r="E42" s="17" t="str">
        <x:v>组</x:v>
      </x:c>
      <x:c r="F42" s="26" t="n">
        <x:v>0</x:v>
      </x:c>
      <x:c r="G42" s="22" t="n">
        <x:f>IF(COUNT(D42,F42)=2,ROUND(D42*(1+F42),4),"缺少输入")</x:f>
        <x:v>1</x:v>
      </x:c>
      <x:c r="H42" s="27" t="n">
        <x:v>7200</x:v>
      </x:c>
      <x:c r="I42" s="24" t="n">
        <x:f>IF(COUNT(G42,H42)=2,ROUND(G42*H42,2),"缺少输入")</x:f>
        <x:v>7200</x:v>
      </x:c>
      <x:c r="J42" s="21" t="str">
        <x:v>坐便、花洒、龙头、热水器，不含浴室柜</x:v>
      </x:c>
    </x:row>
    <x:row r="43" ht="32" customHeight="1">
      <x:c r="A43" s="17" t="str">
        <x:v>B39</x:v>
      </x:c>
      <x:c r="B43" s="17" t="str">
        <x:v>服务</x:v>
      </x:c>
      <x:c r="C43" s="17" t="str">
        <x:v>设计与深化服务暂估</x:v>
      </x:c>
      <x:c r="D43" s="25" t="n">
        <x:v>1</x:v>
      </x:c>
      <x:c r="E43" s="17" t="str">
        <x:v>项</x:v>
      </x:c>
      <x:c r="F43" s="26" t="n">
        <x:v>0</x:v>
      </x:c>
      <x:c r="G43" s="22" t="n">
        <x:f>IF(COUNT(D43,F43)=2,ROUND(D43*(1+F43),4),"缺少输入")</x:f>
        <x:v>1</x:v>
      </x:c>
      <x:c r="H43" s="27" t="n">
        <x:v>15000</x:v>
      </x:c>
      <x:c r="I43" s="24" t="n">
        <x:f>IF(COUNT(G43,H43)=2,ROUND(G43*H43,2),"缺少输入")</x:f>
        <x:v>15000</x:v>
      </x:c>
      <x:c r="J43" s="21" t="str">
        <x:v>本示范为预算结构设定，不代表收费报价</x:v>
      </x:c>
    </x:row>
    <x:row r="44" ht="32" customHeight="1">
      <x:c r="A44" s="17" t="str">
        <x:v>B40</x:v>
      </x:c>
      <x:c r="B44" s="17" t="str">
        <x:v>服务</x:v>
      </x:c>
      <x:c r="C44" s="17" t="str">
        <x:v>安装协调及调试暂估</x:v>
      </x:c>
      <x:c r="D44" s="25" t="n">
        <x:v>1</x:v>
      </x:c>
      <x:c r="E44" s="17" t="str">
        <x:v>项</x:v>
      </x:c>
      <x:c r="F44" s="26" t="n">
        <x:v>0</x:v>
      </x:c>
      <x:c r="G44" s="22" t="n">
        <x:f>IF(COUNT(D44,F44)=2,ROUND(D44*(1+F44),4),"缺少输入")</x:f>
        <x:v>1</x:v>
      </x:c>
      <x:c r="H44" s="27" t="n">
        <x:v>3500</x:v>
      </x:c>
      <x:c r="I44" s="24" t="n">
        <x:f>IF(COUNT(G44,H44)=2,ROUND(G44*H44,2),"缺少输入")</x:f>
        <x:v>3500</x:v>
      </x:c>
      <x:c r="J44" s="21" t="str">
        <x:v>不重复各供装项的基本安装</x:v>
      </x:c>
    </x:row>
  </x:sheetData>
  <x:pageMargins left="0.7" right="0.7" top="0.75" bottom="0.75" header="0.3" footer="0.3"/>
</x:worksheet>
</file>