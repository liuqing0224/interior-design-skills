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2ed890e71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总览" sheetId="1" r:id="R46b9bfb835504e4d"/>
    <x:sheet xmlns:r="http://schemas.openxmlformats.org/officeDocument/2006/relationships" name="工程量计价" sheetId="2" r:id="R62d26d4ceff9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000"/>
  </x:numFmts>
  <x:fonts count="12">
    <x:font>
      <x:sz val="11"/>
      <x:name val="Carlito"/>
    </x:font>
    <x:font>
      <x:sz val="11"/>
      <x:color rgb="FF263A30"/>
      <x:name val="Arial"/>
    </x:font>
    <x:font>
      <x:sz val="16"/>
      <x:color rgb="FF263A30"/>
      <x:name val="Arial"/>
    </x:font>
    <x:font>
      <x:sz val="10"/>
      <x:color rgb="FF7D8178"/>
      <x:name val="Arial"/>
    </x:font>
    <x:font>
      <x:b/>
      <x:sz val="11"/>
      <x:color rgb="FFFFFFFF"/>
      <x:name val="Arial"/>
    </x:font>
    <x:font>
      <x:sz val="11"/>
      <x:color rgb="FF1D5CBD"/>
      <x:name val="Arial"/>
    </x:font>
    <x:font>
      <x:b/>
      <x:sz val="12"/>
      <x:color rgb="FF263A30"/>
      <x:name val="Arial"/>
    </x:font>
    <x:font>
      <x:sz val="10"/>
      <x:color rgb="FF777B70"/>
      <x:name val="Arial"/>
    </x:font>
    <x:font>
      <x:sz val="10"/>
      <x:color rgb="FF24382E"/>
      <x:name val="Arial"/>
    </x:font>
    <x:font>
      <x:sz val="15"/>
      <x:color rgb="FF263A30"/>
      <x:name val="Arial"/>
    </x:font>
    <x:font>
      <x:b/>
      <x:sz val="10"/>
      <x:color rgb="FFFFFFFF"/>
      <x:name val="Arial"/>
    </x:font>
    <x:font>
      <x:sz val="10"/>
      <x:color rgb="FF1D5CB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5D4E"/>
      </x:patternFill>
    </x:fill>
    <x:fill>
      <x:patternFill patternType="solid">
        <x:fgColor rgb="FFE7EBDD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E9472"/>
      </x:top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10" fillId="2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202" fontId="11" fillId="0" borderId="0" xfId="0" applyNumberFormat="1" applyFont="1" applyFill="1" applyBorder="1"/>
    <x:xf numFmtId="201" fontId="11" fillId="0" borderId="0" xfId="0" applyNumberFormat="1" applyFont="1" applyFill="1" applyBorder="1"/>
    <x:xf numFmtId="200" fontId="1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E3425"/>
      </x:font>
      <x:fill>
        <x:patternFill patternType="solid">
          <x:bgColor rgb="FFF7D8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720c6899b4941" /><Relationship Type="http://schemas.openxmlformats.org/officeDocument/2006/relationships/theme" Target="/xl/theme/theme1.xml" Id="Rd77b06b002604a16" /><Relationship Type="http://schemas.openxmlformats.org/officeDocument/2006/relationships/sharedStrings" Target="/xl/sharedStrings.xml" Id="Rd36113a94f2a4f7a" /><Relationship Type="http://schemas.openxmlformats.org/officeDocument/2006/relationships/worksheet" Target="/xl/worksheets/sheet1.xml" Id="R46b9bfb835504e4d" /><Relationship Type="http://schemas.openxmlformats.org/officeDocument/2006/relationships/worksheet" Target="/xl/worksheets/sheet2.xml" Id="R62d26d4ceff9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35D4E"/>
  </x:sheetPr>
  <x:sheetViews>
    <x:sheetView showGridLines="0" workbookViewId="0"/>
  </x:sheetViews>
  <x:sheetFormatPr defaultRowHeight="15"/>
  <x:cols>
    <x:col min="2" max="2" width="26" hidden="0" customWidth="1"/>
    <x:col min="3" max="3" width="20" hidden="0" customWidth="1"/>
    <x:col min="4" max="4" width="4" hidden="0" customWidth="1"/>
    <x:col min="5" max="5" width="64" hidden="0" customWidth="1"/>
  </x:cols>
  <x:sheetData>
    <x:row r="2">
      <x:c r="B2" s="2" t="str">
        <x:v>折庭 室内设计预算</x:v>
      </x:c>
      <x:c r="C2" s="1"/>
      <x:c r="D2" s="1"/>
      <x:c r="E2" s="1"/>
      <x:c r="F2" s="1"/>
    </x:row>
    <x:row r="3">
      <x:c r="B3" s="3" t="str">
        <x:v>TEST-L-084 / v1.1 / CNY</x:v>
      </x:c>
      <x:c r="C3" s="3"/>
      <x:c r="D3" s="3"/>
      <x:c r="E3" s="3"/>
      <x:c r="F3" s="3"/>
    </x:row>
    <x:row r="4">
      <x:c r="B4" s="1"/>
      <x:c r="C4" s="1"/>
      <x:c r="D4" s="1"/>
      <x:c r="E4" s="1"/>
      <x:c r="F4" s="1"/>
    </x:row>
    <x:row r="5" ht="26" customHeight="1">
      <x:c r="B5" s="1" t="str">
        <x:v>目标总预算</x:v>
      </x:c>
      <x:c r="C5" s="7" t="n">
        <x:v>220000</x:v>
      </x:c>
      <x:c r="D5" s="1"/>
      <x:c r="E5" s="16" t="str">
        <x:v>蓝色数字为可调整输入</x:v>
      </x:c>
      <x:c r="F5" s="1"/>
    </x:row>
    <x:row r="6" ht="26" customHeight="1">
      <x:c r="B6" s="1" t="str">
        <x:v>预备费率</x:v>
      </x:c>
      <x:c r="C6" s="8" t="n">
        <x:v>0.1</x:v>
      </x:c>
      <x:c r="D6" s="1"/>
      <x:c r="E6" s="16"/>
      <x:c r="F6" s="1"/>
    </x:row>
    <x:row r="7">
      <x:c r="B7" s="1"/>
      <x:c r="C7" s="1"/>
      <x:c r="D7" s="1"/>
      <x:c r="E7" s="16"/>
      <x:c r="F7" s="1"/>
    </x:row>
    <x:row r="8">
      <x:c r="B8" s="1"/>
      <x:c r="C8" s="1"/>
      <x:c r="D8" s="1"/>
      <x:c r="E8" s="16"/>
      <x:c r="F8" s="1"/>
    </x:row>
    <x:row r="9" ht="29" customHeight="1">
      <x:c r="B9" s="5" t="str">
        <x:v>费用类别</x:v>
      </x:c>
      <x:c r="C9" s="5" t="str">
        <x:v>金额（元）</x:v>
      </x:c>
      <x:c r="D9" s="1"/>
      <x:c r="E9" s="16"/>
      <x:c r="F9" s="1"/>
    </x:row>
    <x:row r="10" ht="27" customHeight="1">
      <x:c r="B10" s="1" t="str">
        <x:v>硬装</x:v>
      </x:c>
      <x:c r="C10" s="9" t="n">
        <x:f>IF(COUNT('工程量计价'!I5:I30)=26,SUMIFS('工程量计价'!$I$5:$I$30,'工程量计价'!$B$5:$B$30,B10),"缺少计价输入")</x:f>
        <x:v>65108.840000000004</x:v>
      </x:c>
      <x:c r="D10" s="1"/>
      <x:c r="E10" s="16"/>
      <x:c r="F10" s="1"/>
    </x:row>
    <x:row r="11" ht="27" customHeight="1">
      <x:c r="B11" s="1" t="str">
        <x:v>定制</x:v>
      </x:c>
      <x:c r="C11" s="9" t="n">
        <x:f>IF(COUNT('工程量计价'!I5:I30)=26,SUMIFS('工程量计价'!$I$5:$I$30,'工程量计价'!$B$5:$B$30,B11),"缺少计价输入")</x:f>
        <x:v>20296.5</x:v>
      </x:c>
      <x:c r="D11" s="1"/>
      <x:c r="E11" s="16"/>
      <x:c r="F11" s="1"/>
    </x:row>
    <x:row r="12" ht="27" customHeight="1">
      <x:c r="B12" s="1" t="str">
        <x:v>灯具</x:v>
      </x:c>
      <x:c r="C12" s="9" t="n">
        <x:f>IF(COUNT('工程量计价'!I5:I30)=26,SUMIFS('工程量计价'!$I$5:$I$30,'工程量计价'!$B$5:$B$30,B12),"缺少计价输入")</x:f>
        <x:v>6500</x:v>
      </x:c>
      <x:c r="D12" s="1"/>
      <x:c r="E12" s="16"/>
      <x:c r="F12" s="1"/>
    </x:row>
    <x:row r="13" ht="27" customHeight="1">
      <x:c r="B13" s="1" t="str">
        <x:v>机电</x:v>
      </x:c>
      <x:c r="C13" s="9" t="n">
        <x:f>IF(COUNT('工程量计价'!I5:I30)=26,SUMIFS('工程量计价'!$I$5:$I$30,'工程量计价'!$B$5:$B$30,B13),"缺少计价输入")</x:f>
        <x:v>16400</x:v>
      </x:c>
      <x:c r="D13" s="1"/>
      <x:c r="E13" s="16"/>
      <x:c r="F13" s="1"/>
    </x:row>
    <x:row r="14" ht="27" customHeight="1">
      <x:c r="B14" s="1" t="str">
        <x:v>家电设备</x:v>
      </x:c>
      <x:c r="C14" s="9" t="n">
        <x:f>IF(COUNT('工程量计价'!I5:I30)=26,SUMIFS('工程量计价'!$I$5:$I$30,'工程量计价'!$B$5:$B$30,B14),"缺少计价输入")</x:f>
        <x:v>11400</x:v>
      </x:c>
      <x:c r="D14" s="1"/>
      <x:c r="E14" s="16"/>
      <x:c r="F14" s="1"/>
    </x:row>
    <x:row r="15" ht="27" customHeight="1">
      <x:c r="B15" s="1" t="str">
        <x:v>家具洁具</x:v>
      </x:c>
      <x:c r="C15" s="9" t="n">
        <x:f>IF(COUNT('工程量计价'!I5:I30)=26,SUMIFS('工程量计价'!$I$5:$I$30,'工程量计价'!$B$5:$B$30,B15),"缺少计价输入")</x:f>
        <x:v>22800</x:v>
      </x:c>
      <x:c r="D15" s="1"/>
      <x:c r="E15" s="16"/>
      <x:c r="F15" s="1"/>
    </x:row>
    <x:row r="16" ht="27" customHeight="1">
      <x:c r="B16" s="1" t="str">
        <x:v>软装</x:v>
      </x:c>
      <x:c r="C16" s="9" t="n">
        <x:f>IF(COUNT('工程量计价'!I5:I30)=26,SUMIFS('工程量计价'!$I$5:$I$30,'工程量计价'!$B$5:$B$30,B16),"缺少计价输入")</x:f>
        <x:v>7000</x:v>
      </x:c>
      <x:c r="D16" s="1"/>
      <x:c r="E16" s="16"/>
      <x:c r="F16" s="1"/>
    </x:row>
    <x:row r="17" ht="27" customHeight="1">
      <x:c r="B17" s="1" t="str">
        <x:v>服务</x:v>
      </x:c>
      <x:c r="C17" s="9" t="n">
        <x:f>IF(COUNT('工程量计价'!I5:I30)=26,SUMIFS('工程量计价'!$I$5:$I$30,'工程量计价'!$B$5:$B$30,B17),"缺少计价输入")</x:f>
        <x:v>16000</x:v>
      </x:c>
      <x:c r="D17" s="1"/>
      <x:c r="E17" s="16"/>
      <x:c r="F17" s="1"/>
    </x:row>
    <x:row r="18" ht="27" customHeight="1">
      <x:c r="B18" s="1"/>
      <x:c r="C18" s="9"/>
      <x:c r="D18" s="1"/>
      <x:c r="E18" s="16"/>
      <x:c r="F18" s="1"/>
    </x:row>
    <x:row r="19" ht="27" customHeight="1">
      <x:c r="B19" s="10" t="str">
        <x:v>基础费用合计</x:v>
      </x:c>
      <x:c r="C19" s="11" t="n">
        <x:f>IF(COUNT('工程量计价'!I5:I30)=COUNTA('工程量计价'!A5:A30),SUM('工程量计价'!I5:I30),"缺少计价输入")</x:f>
        <x:v>165505.34</x:v>
      </x:c>
      <x:c r="D19" s="1"/>
      <x:c r="E19" s="16" t="str">
        <x:v>21/26行工程量由模型规则计量；其余为明确输入。</x:v>
      </x:c>
      <x:c r="F19" s="1"/>
    </x:row>
    <x:row r="20" ht="27" customHeight="1">
      <x:c r="B20" s="1" t="str">
        <x:v>预备费</x:v>
      </x:c>
      <x:c r="C20" s="9" t="n">
        <x:f>IF(AND(ISNUMBER(C19),ISNUMBER(C6)),ROUND(C19*C6,2),"缺少计价输入")</x:f>
        <x:v>16550.53</x:v>
      </x:c>
      <x:c r="D20" s="1"/>
      <x:c r="E20" s="16"/>
      <x:c r="F20" s="1"/>
    </x:row>
    <x:row r="21" ht="27" customHeight="1">
      <x:c r="B21" s="14" t="str">
        <x:v>含预备费总额</x:v>
      </x:c>
      <x:c r="C21" s="15" t="n">
        <x:f>IF(COUNT(C19:C20)=2,SUM(C19:C20),"缺少计价输入")</x:f>
        <x:v>182055.87</x:v>
      </x:c>
      <x:c r="D21" s="1"/>
      <x:c r="E21" s="16" t="str">
        <x:v>费用范围以本项目明细为准。</x:v>
      </x:c>
      <x:c r="F21" s="1"/>
    </x:row>
    <x:row r="22" ht="27" customHeight="1">
      <x:c r="B22" s="1" t="str">
        <x:v>预算余量</x:v>
      </x:c>
      <x:c r="C22" s="9" t="n">
        <x:f>IF(AND(ISNUMBER(C5),ISNUMBER(C21)),ROUND(C5-C21,2),"缺少计价输入")</x:f>
        <x:v>37944.13</x:v>
      </x:c>
      <x:c r="D22" s="1"/>
      <x:c r="E22" s="16"/>
      <x:c r="F22" s="1"/>
    </x:row>
    <x:row r="23">
      <x:c r="B23" s="1"/>
      <x:c r="C23" s="1"/>
      <x:c r="D23" s="1"/>
      <x:c r="E23" s="1"/>
      <x:c r="F23" s="1"/>
    </x:row>
  </x:sheetData>
  <x:conditionalFormatting sqref="C22:C2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E9472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12" hidden="0" customWidth="1"/>
    <x:col min="5" max="5" width="9" hidden="0" customWidth="1"/>
    <x:col min="6" max="6" width="10" hidden="0" customWidth="1"/>
    <x:col min="7" max="7" width="13" hidden="0" customWidth="1"/>
    <x:col min="8" max="8" width="15" hidden="0" customWidth="1"/>
    <x:col min="9" max="9" width="17" hidden="0" customWidth="1"/>
    <x:col min="10" max="10" width="58" hidden="0" customWidth="1"/>
  </x:cols>
  <x:sheetData>
    <x:row r="2">
      <x:c r="A2" s="18" t="str">
        <x:v>工程量、损耗与单价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6" t="str">
        <x:v>单价为本项目估算输入；净量由当前模型导出，来源和计量口径见J列。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0" customHeight="1">
      <x:c r="A4" s="20" t="str">
        <x:v>编号</x:v>
      </x:c>
      <x:c r="B4" s="20" t="str">
        <x:v>类别</x:v>
      </x:c>
      <x:c r="C4" s="20" t="str">
        <x:v>工作内容</x:v>
      </x:c>
      <x:c r="D4" s="20" t="str">
        <x:v>净量</x:v>
      </x:c>
      <x:c r="E4" s="20" t="str">
        <x:v>单位</x:v>
      </x:c>
      <x:c r="F4" s="20" t="str">
        <x:v>损耗率</x:v>
      </x:c>
      <x:c r="G4" s="20" t="str">
        <x:v>计价量</x:v>
      </x:c>
      <x:c r="H4" s="20" t="str">
        <x:v>单价（元）</x:v>
      </x:c>
      <x:c r="I4" s="20" t="str">
        <x:v>金额（元）</x:v>
      </x:c>
      <x:c r="J4" s="20" t="str">
        <x:v>计量依据</x:v>
      </x:c>
    </x:row>
    <x:row r="5" ht="32" customHeight="1">
      <x:c r="A5" s="17" t="str">
        <x:v>Q-OAK</x:v>
      </x:c>
      <x:c r="B5" s="17" t="str">
        <x:v>硬装</x:v>
      </x:c>
      <x:c r="C5" s="17" t="str">
        <x:v>OAK地面供装</x:v>
      </x:c>
      <x:c r="D5" s="25" t="n">
        <x:v>61.3688</x:v>
      </x:c>
      <x:c r="E5" s="17" t="str">
        <x:v>㎡</x:v>
      </x:c>
      <x:c r="F5" s="26" t="n">
        <x:v>0.05</x:v>
      </x:c>
      <x:c r="G5" s="22" t="n">
        <x:f>IF(COUNT(D5,F5)=2,ROUND(D5*(1+F5),4),"缺少输入")</x:f>
        <x:v>64.4372</x:v>
      </x:c>
      <x:c r="H5" s="27" t="n">
        <x:v>235</x:v>
      </x:c>
      <x:c r="I5" s="24" t="n">
        <x:f>IF(COUNT(G5,H5)=2,ROUND(G5*H5,2),"缺少输入")</x:f>
        <x:v>15142.74</x:v>
      </x:c>
      <x:c r="J5" s="21" t="str">
        <x:v>净分区面积，柜下满铺；加所列损耗</x:v>
      </x:c>
    </x:row>
    <x:row r="6" ht="32" customHeight="1">
      <x:c r="A6" s="17" t="str">
        <x:v>Q-KT</x:v>
      </x:c>
      <x:c r="B6" s="17" t="str">
        <x:v>硬装</x:v>
      </x:c>
      <x:c r="C6" s="17" t="str">
        <x:v>STONE地面供装</x:v>
      </x:c>
      <x:c r="D6" s="25" t="n">
        <x:v>12.384</x:v>
      </x:c>
      <x:c r="E6" s="17" t="str">
        <x:v>㎡</x:v>
      </x:c>
      <x:c r="F6" s="26" t="n">
        <x:v>0.08</x:v>
      </x:c>
      <x:c r="G6" s="22" t="n">
        <x:f>IF(COUNT(D6,F6)=2,ROUND(D6*(1+F6),4),"缺少输入")</x:f>
        <x:v>13.3747</x:v>
      </x:c>
      <x:c r="H6" s="27" t="n">
        <x:v>245</x:v>
      </x:c>
      <x:c r="I6" s="24" t="n">
        <x:f>IF(COUNT(G6,H6)=2,ROUND(G6*H6,2),"缺少输入")</x:f>
        <x:v>3276.8</x:v>
      </x:c>
      <x:c r="J6" s="21" t="str">
        <x:v>净分区面积，柜下满铺；加所列损耗</x:v>
      </x:c>
    </x:row>
    <x:row r="7" ht="32" customHeight="1">
      <x:c r="A7" s="17" t="str">
        <x:v>Q-WET</x:v>
      </x:c>
      <x:c r="B7" s="17" t="str">
        <x:v>硬装</x:v>
      </x:c>
      <x:c r="C7" s="17" t="str">
        <x:v>WET地面供装</x:v>
      </x:c>
      <x:c r="D7" s="25" t="n">
        <x:v>6.76</x:v>
      </x:c>
      <x:c r="E7" s="17" t="str">
        <x:v>㎡</x:v>
      </x:c>
      <x:c r="F7" s="26" t="n">
        <x:v>0.08</x:v>
      </x:c>
      <x:c r="G7" s="22" t="n">
        <x:f>IF(COUNT(D7,F7)=2,ROUND(D7*(1+F7),4),"缺少输入")</x:f>
        <x:v>7.3008</x:v>
      </x:c>
      <x:c r="H7" s="27" t="n">
        <x:v>250</x:v>
      </x:c>
      <x:c r="I7" s="24" t="n">
        <x:f>IF(COUNT(G7,H7)=2,ROUND(G7*H7,2),"缺少输入")</x:f>
        <x:v>1825.2</x:v>
      </x:c>
      <x:c r="J7" s="21" t="str">
        <x:v>净分区面积，柜下满铺；加所列损耗</x:v>
      </x:c>
    </x:row>
    <x:row r="8" ht="32" customHeight="1">
      <x:c r="A8" s="17" t="str">
        <x:v>Q-CEILING</x:v>
      </x:c>
      <x:c r="B8" s="17" t="str">
        <x:v>硬装</x:v>
      </x:c>
      <x:c r="C8" s="17" t="str">
        <x:v>顶面基层与涂装</x:v>
      </x:c>
      <x:c r="D8" s="25" t="n">
        <x:v>80.5128</x:v>
      </x:c>
      <x:c r="E8" s="17" t="str">
        <x:v>㎡</x:v>
      </x:c>
      <x:c r="F8" s="26" t="n">
        <x:v>0</x:v>
      </x:c>
      <x:c r="G8" s="22" t="n">
        <x:f>IF(COUNT(D8,F8)=2,ROUND(D8*(1+F8),4),"缺少输入")</x:f>
        <x:v>80.5128</x:v>
      </x:c>
      <x:c r="H8" s="27" t="n">
        <x:v>125</x:v>
      </x:c>
      <x:c r="I8" s="24" t="n">
        <x:f>IF(COUNT(G8,H8)=2,ROUND(G8*H8,2),"缺少输入")</x:f>
        <x:v>10064.1</x:v>
      </x:c>
      <x:c r="J8" s="21" t="str">
        <x:v>按模型对象计量</x:v>
      </x:c>
    </x:row>
    <x:row r="9" ht="32" customHeight="1">
      <x:c r="A9" s="17" t="str">
        <x:v>Q-DOORS</x:v>
      </x:c>
      <x:c r="B9" s="17" t="str">
        <x:v>硬装</x:v>
      </x:c>
      <x:c r="C9" s="17" t="str">
        <x:v>室内门及五金</x:v>
      </x:c>
      <x:c r="D9" s="25" t="n">
        <x:v>6</x:v>
      </x:c>
      <x:c r="E9" s="17" t="str">
        <x:v>套</x:v>
      </x:c>
      <x:c r="F9" s="26" t="n">
        <x:v>0</x:v>
      </x:c>
      <x:c r="G9" s="22" t="n">
        <x:f>IF(COUNT(D9,F9)=2,ROUND(D9*(1+F9),4),"缺少输入")</x:f>
        <x:v>6</x:v>
      </x:c>
      <x:c r="H9" s="27" t="n">
        <x:v>2100</x:v>
      </x:c>
      <x:c r="I9" s="24" t="n">
        <x:f>IF(COUNT(G9,H9)=2,ROUND(G9*H9,2),"缺少输入")</x:f>
        <x:v>12600</x:v>
      </x:c>
      <x:c r="J9" s="21" t="str">
        <x:v>按模型对象计量</x:v>
      </x:c>
    </x:row>
    <x:row r="10" ht="32" customHeight="1">
      <x:c r="A10" s="17" t="str">
        <x:v>Q-PAINT</x:v>
      </x:c>
      <x:c r="B10" s="17" t="str">
        <x:v>硬装</x:v>
      </x:c>
      <x:c r="C10" s="17" t="str">
        <x:v>墙面及湿区基层暂估</x:v>
      </x:c>
      <x:c r="D10" s="25" t="n">
        <x:v>1</x:v>
      </x:c>
      <x:c r="E10" s="17" t="str">
        <x:v>项</x:v>
      </x:c>
      <x:c r="F10" s="26" t="n">
        <x:v>0</x:v>
      </x:c>
      <x:c r="G10" s="22" t="n">
        <x:f>IF(COUNT(D10,F10)=2,ROUND(D10*(1+F10),4),"缺少输入")</x:f>
        <x:v>1</x:v>
      </x:c>
      <x:c r="H10" s="27" t="n">
        <x:v>18000</x:v>
      </x:c>
      <x:c r="I10" s="24" t="n">
        <x:f>IF(COUNT(G10,H10)=2,ROUND(G10*H10,2),"缺少输入")</x:f>
        <x:v>18000</x:v>
      </x:c>
      <x:c r="J10" s="21" t="str">
        <x:v>综合暂估，未建立墙面展开量规则</x:v>
      </x:c>
    </x:row>
    <x:row r="11" ht="32" customHeight="1">
      <x:c r="A11" s="17" t="str">
        <x:v>Q-PROTECT</x:v>
      </x:c>
      <x:c r="B11" s="17" t="str">
        <x:v>硬装</x:v>
      </x:c>
      <x:c r="C11" s="17" t="str">
        <x:v>保护与清运</x:v>
      </x:c>
      <x:c r="D11" s="25" t="n">
        <x:v>1</x:v>
      </x:c>
      <x:c r="E11" s="17" t="str">
        <x:v>项</x:v>
      </x:c>
      <x:c r="F11" s="26" t="n">
        <x:v>0</x:v>
      </x:c>
      <x:c r="G11" s="22" t="n">
        <x:f>IF(COUNT(D11,F11)=2,ROUND(D11*(1+F11),4),"缺少输入")</x:f>
        <x:v>1</x:v>
      </x:c>
      <x:c r="H11" s="27" t="n">
        <x:v>4200</x:v>
      </x:c>
      <x:c r="I11" s="24" t="n">
        <x:f>IF(COUNT(G11,H11)=2,ROUND(G11*H11,2),"缺少输入")</x:f>
        <x:v>4200</x:v>
      </x:c>
      <x:c r="J11" s="21" t="str">
        <x:v>测试估算包项</x:v>
      </x:c>
    </x:row>
    <x:row r="12" ht="32" customHeight="1">
      <x:c r="A12" s="17" t="str">
        <x:v>Q-CAB-A</x:v>
      </x:c>
      <x:c r="B12" s="17" t="str">
        <x:v>定制</x:v>
      </x:c>
      <x:c r="C12" s="17" t="str">
        <x:v>CAB-A柜体</x:v>
      </x:c>
      <x:c r="D12" s="25" t="n">
        <x:v>6.37</x:v>
      </x:c>
      <x:c r="E12" s="17" t="str">
        <x:v>㎡</x:v>
      </x:c>
      <x:c r="F12" s="26" t="n">
        <x:v>0</x:v>
      </x:c>
      <x:c r="G12" s="22" t="n">
        <x:f>IF(COUNT(D12,F12)=2,ROUND(D12*(1+F12),4),"缺少输入")</x:f>
        <x:v>6.37</x:v>
      </x:c>
      <x:c r="H12" s="27" t="n">
        <x:v>1050</x:v>
      </x:c>
      <x:c r="I12" s="24" t="n">
        <x:f>IF(COUNT(G12,H12)=2,ROUND(G12*H12,2),"缺少输入")</x:f>
        <x:v>6688.5</x:v>
      </x:c>
      <x:c r="J12" s="21" t="str">
        <x:v>front_axis正面宽度×高度；含板材五金</x:v>
      </x:c>
    </x:row>
    <x:row r="13" ht="32" customHeight="1">
      <x:c r="A13" s="17" t="str">
        <x:v>Q-SIDE-A</x:v>
      </x:c>
      <x:c r="B13" s="17" t="str">
        <x:v>定制</x:v>
      </x:c>
      <x:c r="C13" s="17" t="str">
        <x:v>SIDE-A柜体</x:v>
      </x:c>
      <x:c r="D13" s="25" t="n">
        <x:v>2.2</x:v>
      </x:c>
      <x:c r="E13" s="17" t="str">
        <x:v>㎡</x:v>
      </x:c>
      <x:c r="F13" s="26" t="n">
        <x:v>0</x:v>
      </x:c>
      <x:c r="G13" s="22" t="n">
        <x:f>IF(COUNT(D13,F13)=2,ROUND(D13*(1+F13),4),"缺少输入")</x:f>
        <x:v>2.2</x:v>
      </x:c>
      <x:c r="H13" s="27" t="n">
        <x:v>900</x:v>
      </x:c>
      <x:c r="I13" s="24" t="n">
        <x:f>IF(COUNT(G13,H13)=2,ROUND(G13*H13,2),"缺少输入")</x:f>
        <x:v>1980</x:v>
      </x:c>
      <x:c r="J13" s="21" t="str">
        <x:v>front_axis正面宽度×高度；含板材五金</x:v>
      </x:c>
    </x:row>
    <x:row r="14" ht="32" customHeight="1">
      <x:c r="A14" s="17" t="str">
        <x:v>Q-TV-LOW</x:v>
      </x:c>
      <x:c r="B14" s="17" t="str">
        <x:v>定制</x:v>
      </x:c>
      <x:c r="C14" s="17" t="str">
        <x:v>TV-LOW柜体</x:v>
      </x:c>
      <x:c r="D14" s="25" t="n">
        <x:v>1.32</x:v>
      </x:c>
      <x:c r="E14" s="17" t="str">
        <x:v>㎡</x:v>
      </x:c>
      <x:c r="F14" s="26" t="n">
        <x:v>0</x:v>
      </x:c>
      <x:c r="G14" s="22" t="n">
        <x:f>IF(COUNT(D14,F14)=2,ROUND(D14*(1+F14),4),"缺少输入")</x:f>
        <x:v>1.32</x:v>
      </x:c>
      <x:c r="H14" s="27" t="n">
        <x:v>900</x:v>
      </x:c>
      <x:c r="I14" s="24" t="n">
        <x:f>IF(COUNT(G14,H14)=2,ROUND(G14*H14,2),"缺少输入")</x:f>
        <x:v>1188</x:v>
      </x:c>
      <x:c r="J14" s="21" t="str">
        <x:v>front_axis正面宽度×高度；含板材五金</x:v>
      </x:c>
    </x:row>
    <x:row r="15" ht="32" customHeight="1">
      <x:c r="A15" s="17" t="str">
        <x:v>Q-KT-BASE</x:v>
      </x:c>
      <x:c r="B15" s="17" t="str">
        <x:v>定制</x:v>
      </x:c>
      <x:c r="C15" s="17" t="str">
        <x:v>KT-BASE柜体及台面</x:v>
      </x:c>
      <x:c r="D15" s="25" t="n">
        <x:v>2.4</x:v>
      </x:c>
      <x:c r="E15" s="17" t="str">
        <x:v>m</x:v>
      </x:c>
      <x:c r="F15" s="26" t="n">
        <x:v>0</x:v>
      </x:c>
      <x:c r="G15" s="22" t="n">
        <x:f>IF(COUNT(D15,F15)=2,ROUND(D15*(1+F15),4),"缺少输入")</x:f>
        <x:v>2.4</x:v>
      </x:c>
      <x:c r="H15" s="27" t="n">
        <x:v>3000</x:v>
      </x:c>
      <x:c r="I15" s="24" t="n">
        <x:f>IF(COUNT(G15,H15)=2,ROUND(G15*H15,2),"缺少输入")</x:f>
        <x:v>7200</x:v>
      </x:c>
      <x:c r="J15" s="21" t="str">
        <x:v>沿front_axis正面长度，非最大包围边默认值</x:v>
      </x:c>
    </x:row>
    <x:row r="16" ht="32" customHeight="1">
      <x:c r="A16" s="17" t="str">
        <x:v>Q-VANITY</x:v>
      </x:c>
      <x:c r="B16" s="17" t="str">
        <x:v>定制</x:v>
      </x:c>
      <x:c r="C16" s="17" t="str">
        <x:v>VANITY柜体及台面</x:v>
      </x:c>
      <x:c r="D16" s="25" t="n">
        <x:v>1.2</x:v>
      </x:c>
      <x:c r="E16" s="17" t="str">
        <x:v>m</x:v>
      </x:c>
      <x:c r="F16" s="26" t="n">
        <x:v>0</x:v>
      </x:c>
      <x:c r="G16" s="22" t="n">
        <x:f>IF(COUNT(D16,F16)=2,ROUND(D16*(1+F16),4),"缺少输入")</x:f>
        <x:v>1.2</x:v>
      </x:c>
      <x:c r="H16" s="27" t="n">
        <x:v>2700</x:v>
      </x:c>
      <x:c r="I16" s="24" t="n">
        <x:f>IF(COUNT(G16,H16)=2,ROUND(G16*H16,2),"缺少输入")</x:f>
        <x:v>3240</x:v>
      </x:c>
      <x:c r="J16" s="21" t="str">
        <x:v>沿front_axis正面长度，非最大包围边默认值</x:v>
      </x:c>
    </x:row>
    <x:row r="17" ht="32" customHeight="1">
      <x:c r="A17" s="17" t="str">
        <x:v>Q-LAMPS</x:v>
      </x:c>
      <x:c r="B17" s="17" t="str">
        <x:v>灯具</x:v>
      </x:c>
      <x:c r="C17" s="17" t="str">
        <x:v>灯具与驱动</x:v>
      </x:c>
      <x:c r="D17" s="25" t="n">
        <x:v>10</x:v>
      </x:c>
      <x:c r="E17" s="17" t="str">
        <x:v>盏</x:v>
      </x:c>
      <x:c r="F17" s="26" t="n">
        <x:v>0</x:v>
      </x:c>
      <x:c r="G17" s="22" t="n">
        <x:f>IF(COUNT(D17,F17)=2,ROUND(D17*(1+F17),4),"缺少输入")</x:f>
        <x:v>10</x:v>
      </x:c>
      <x:c r="H17" s="27" t="n">
        <x:v>650</x:v>
      </x:c>
      <x:c r="I17" s="24" t="n">
        <x:f>IF(COUNT(G17,H17)=2,ROUND(G17*H17,2),"缺少输入")</x:f>
        <x:v>6500</x:v>
      </x:c>
      <x:c r="J17" s="21" t="str">
        <x:v>按模型对象计量</x:v>
      </x:c>
    </x:row>
    <x:row r="18" ht="32" customHeight="1">
      <x:c r="A18" s="17" t="str">
        <x:v>Q-POINTS</x:v>
      </x:c>
      <x:c r="B18" s="17" t="str">
        <x:v>机电</x:v>
      </x:c>
      <x:c r="C18" s="17" t="str">
        <x:v>条件点位施工暂估</x:v>
      </x:c>
      <x:c r="D18" s="25" t="n">
        <x:v>4</x:v>
      </x:c>
      <x:c r="E18" s="17" t="str">
        <x:v>点</x:v>
      </x:c>
      <x:c r="F18" s="26" t="n">
        <x:v>0</x:v>
      </x:c>
      <x:c r="G18" s="22" t="n">
        <x:f>IF(COUNT(D18,F18)=2,ROUND(D18*(1+F18),4),"缺少输入")</x:f>
        <x:v>4</x:v>
      </x:c>
      <x:c r="H18" s="27" t="n">
        <x:v>600</x:v>
      </x:c>
      <x:c r="I18" s="24" t="n">
        <x:f>IF(COUNT(G18,H18)=2,ROUND(G18*H18,2),"缺少输入")</x:f>
        <x:v>2400</x:v>
      </x:c>
      <x:c r="J18" s="21" t="str">
        <x:v>每个条件点暂估，系统深化费用另列</x:v>
      </x:c>
    </x:row>
    <x:row r="19" ht="32" customHeight="1">
      <x:c r="A19" s="17" t="str">
        <x:v>Q-MEP</x:v>
      </x:c>
      <x:c r="B19" s="17" t="str">
        <x:v>机电</x:v>
      </x:c>
      <x:c r="C19" s="17" t="str">
        <x:v>管线及系统深化暂估</x:v>
      </x:c>
      <x:c r="D19" s="25" t="n">
        <x:v>1</x:v>
      </x:c>
      <x:c r="E19" s="17" t="str">
        <x:v>项</x:v>
      </x:c>
      <x:c r="F19" s="26" t="n">
        <x:v>0</x:v>
      </x:c>
      <x:c r="G19" s="22" t="n">
        <x:f>IF(COUNT(D19,F19)=2,ROUND(D19*(1+F19),4),"缺少输入")</x:f>
        <x:v>1</x:v>
      </x:c>
      <x:c r="H19" s="27" t="n">
        <x:v>14000</x:v>
      </x:c>
      <x:c r="I19" s="24" t="n">
        <x:f>IF(COUNT(G19,H19)=2,ROUND(G19*H19,2),"缺少输入")</x:f>
        <x:v>14000</x:v>
      </x:c>
      <x:c r="J19" s="21" t="str">
        <x:v>不重复点位；测试估算包项</x:v>
      </x:c>
    </x:row>
    <x:row r="20" ht="32" customHeight="1">
      <x:c r="A20" s="17" t="str">
        <x:v>Q-EQUIP</x:v>
      </x:c>
      <x:c r="B20" s="17" t="str">
        <x:v>家电设备</x:v>
      </x:c>
      <x:c r="C20" s="17" t="str">
        <x:v>设备采购供装暂估</x:v>
      </x:c>
      <x:c r="D20" s="25" t="n">
        <x:v>3</x:v>
      </x:c>
      <x:c r="E20" s="17" t="str">
        <x:v>台</x:v>
      </x:c>
      <x:c r="F20" s="26" t="n">
        <x:v>0</x:v>
      </x:c>
      <x:c r="G20" s="22" t="n">
        <x:f>IF(COUNT(D20,F20)=2,ROUND(D20*(1+F20),4),"缺少输入")</x:f>
        <x:v>3</x:v>
      </x:c>
      <x:c r="H20" s="27" t="n">
        <x:v>3800</x:v>
      </x:c>
      <x:c r="I20" s="24" t="n">
        <x:f>IF(COUNT(G20,H20)=2,ROUND(G20*H20,2),"缺少输入")</x:f>
        <x:v>11400</x:v>
      </x:c>
      <x:c r="J20" s="21" t="str">
        <x:v>每台测试统一估算；不代表选型报价</x:v>
      </x:c>
    </x:row>
    <x:row r="21" ht="32" customHeight="1">
      <x:c r="A21" s="17" t="str">
        <x:v>Q-SOFA-A</x:v>
      </x:c>
      <x:c r="B21" s="17" t="str">
        <x:v>家具洁具</x:v>
      </x:c>
      <x:c r="C21" s="17" t="str">
        <x:v>双人沙发</x:v>
      </x:c>
      <x:c r="D21" s="25" t="n">
        <x:v>1</x:v>
      </x:c>
      <x:c r="E21" s="17" t="str">
        <x:v>件</x:v>
      </x:c>
      <x:c r="F21" s="26" t="n">
        <x:v>0</x:v>
      </x:c>
      <x:c r="G21" s="22" t="n">
        <x:f>IF(COUNT(D21,F21)=2,ROUND(D21*(1+F21),4),"缺少输入")</x:f>
        <x:v>1</x:v>
      </x:c>
      <x:c r="H21" s="27" t="n">
        <x:v>5500</x:v>
      </x:c>
      <x:c r="I21" s="24" t="n">
        <x:f>IF(COUNT(G21,H21)=2,ROUND(G21*H21,2),"缺少输入")</x:f>
        <x:v>5500</x:v>
      </x:c>
      <x:c r="J21" s="21" t="str">
        <x:v>按模型对象计量</x:v>
      </x:c>
    </x:row>
    <x:row r="22" ht="32" customHeight="1">
      <x:c r="A22" s="17" t="str">
        <x:v>Q-TABLE-C</x:v>
      </x:c>
      <x:c r="B22" s="17" t="str">
        <x:v>家具洁具</x:v>
      </x:c>
      <x:c r="C22" s="17" t="str">
        <x:v>茶几</x:v>
      </x:c>
      <x:c r="D22" s="25" t="n">
        <x:v>1</x:v>
      </x:c>
      <x:c r="E22" s="17" t="str">
        <x:v>件</x:v>
      </x:c>
      <x:c r="F22" s="26" t="n">
        <x:v>0</x:v>
      </x:c>
      <x:c r="G22" s="22" t="n">
        <x:f>IF(COUNT(D22,F22)=2,ROUND(D22*(1+F22),4),"缺少输入")</x:f>
        <x:v>1</x:v>
      </x:c>
      <x:c r="H22" s="27" t="n">
        <x:v>1800</x:v>
      </x:c>
      <x:c r="I22" s="24" t="n">
        <x:f>IF(COUNT(G22,H22)=2,ROUND(G22*H22,2),"缺少输入")</x:f>
        <x:v>1800</x:v>
      </x:c>
      <x:c r="J22" s="21" t="str">
        <x:v>按模型对象计量</x:v>
      </x:c>
    </x:row>
    <x:row r="23" ht="32" customHeight="1">
      <x:c r="A23" s="17" t="str">
        <x:v>Q-DINING</x:v>
      </x:c>
      <x:c r="B23" s="17" t="str">
        <x:v>家具洁具</x:v>
      </x:c>
      <x:c r="C23" s="17" t="str">
        <x:v>餐桌</x:v>
      </x:c>
      <x:c r="D23" s="25" t="n">
        <x:v>1</x:v>
      </x:c>
      <x:c r="E23" s="17" t="str">
        <x:v>件</x:v>
      </x:c>
      <x:c r="F23" s="26" t="n">
        <x:v>0</x:v>
      </x:c>
      <x:c r="G23" s="22" t="n">
        <x:f>IF(COUNT(D23,F23)=2,ROUND(D23*(1+F23),4),"缺少输入")</x:f>
        <x:v>1</x:v>
      </x:c>
      <x:c r="H23" s="27" t="n">
        <x:v>3000</x:v>
      </x:c>
      <x:c r="I23" s="24" t="n">
        <x:f>IF(COUNT(G23,H23)=2,ROUND(G23*H23,2),"缺少输入")</x:f>
        <x:v>3000</x:v>
      </x:c>
      <x:c r="J23" s="21" t="str">
        <x:v>按模型对象计量</x:v>
      </x:c>
    </x:row>
    <x:row r="24" ht="32" customHeight="1">
      <x:c r="A24" s="17" t="str">
        <x:v>Q-BED-A</x:v>
      </x:c>
      <x:c r="B24" s="17" t="str">
        <x:v>家具洁具</x:v>
      </x:c>
      <x:c r="C24" s="17" t="str">
        <x:v>床及床垫</x:v>
      </x:c>
      <x:c r="D24" s="25" t="n">
        <x:v>1</x:v>
      </x:c>
      <x:c r="E24" s="17" t="str">
        <x:v>件</x:v>
      </x:c>
      <x:c r="F24" s="26" t="n">
        <x:v>0</x:v>
      </x:c>
      <x:c r="G24" s="22" t="n">
        <x:f>IF(COUNT(D24,F24)=2,ROUND(D24*(1+F24),4),"缺少输入")</x:f>
        <x:v>1</x:v>
      </x:c>
      <x:c r="H24" s="27" t="n">
        <x:v>4800</x:v>
      </x:c>
      <x:c r="I24" s="24" t="n">
        <x:f>IF(COUNT(G24,H24)=2,ROUND(G24*H24,2),"缺少输入")</x:f>
        <x:v>4800</x:v>
      </x:c>
      <x:c r="J24" s="21" t="str">
        <x:v>按模型对象计量</x:v>
      </x:c>
    </x:row>
    <x:row r="25" ht="32" customHeight="1">
      <x:c r="A25" s="17" t="str">
        <x:v>Q-DESK-A</x:v>
      </x:c>
      <x:c r="B25" s="17" t="str">
        <x:v>家具洁具</x:v>
      </x:c>
      <x:c r="C25" s="17" t="str">
        <x:v>工作桌</x:v>
      </x:c>
      <x:c r="D25" s="25" t="n">
        <x:v>1</x:v>
      </x:c>
      <x:c r="E25" s="17" t="str">
        <x:v>件</x:v>
      </x:c>
      <x:c r="F25" s="26" t="n">
        <x:v>0</x:v>
      </x:c>
      <x:c r="G25" s="22" t="n">
        <x:f>IF(COUNT(D25,F25)=2,ROUND(D25*(1+F25),4),"缺少输入")</x:f>
        <x:v>1</x:v>
      </x:c>
      <x:c r="H25" s="27" t="n">
        <x:v>1800</x:v>
      </x:c>
      <x:c r="I25" s="24" t="n">
        <x:f>IF(COUNT(G25,H25)=2,ROUND(G25*H25,2),"缺少输入")</x:f>
        <x:v>1800</x:v>
      </x:c>
      <x:c r="J25" s="21" t="str">
        <x:v>按模型对象计量</x:v>
      </x:c>
    </x:row>
    <x:row r="26" ht="32" customHeight="1">
      <x:c r="A26" s="17" t="str">
        <x:v>Q-CHAIR-A</x:v>
      </x:c>
      <x:c r="B26" s="17" t="str">
        <x:v>家具洁具</x:v>
      </x:c>
      <x:c r="C26" s="17" t="str">
        <x:v>工作椅</x:v>
      </x:c>
      <x:c r="D26" s="25" t="n">
        <x:v>1</x:v>
      </x:c>
      <x:c r="E26" s="17" t="str">
        <x:v>件</x:v>
      </x:c>
      <x:c r="F26" s="26" t="n">
        <x:v>0</x:v>
      </x:c>
      <x:c r="G26" s="22" t="n">
        <x:f>IF(COUNT(D26,F26)=2,ROUND(D26*(1+F26),4),"缺少输入")</x:f>
        <x:v>1</x:v>
      </x:c>
      <x:c r="H26" s="27" t="n">
        <x:v>900</x:v>
      </x:c>
      <x:c r="I26" s="24" t="n">
        <x:f>IF(COUNT(G26,H26)=2,ROUND(G26*H26,2),"缺少输入")</x:f>
        <x:v>900</x:v>
      </x:c>
      <x:c r="J26" s="21" t="str">
        <x:v>按模型对象计量</x:v>
      </x:c>
    </x:row>
    <x:row r="27" ht="32" customHeight="1">
      <x:c r="A27" s="17" t="str">
        <x:v>Q-WC-A</x:v>
      </x:c>
      <x:c r="B27" s="17" t="str">
        <x:v>家具洁具</x:v>
      </x:c>
      <x:c r="C27" s="17" t="str">
        <x:v>坐便器</x:v>
      </x:c>
      <x:c r="D27" s="25" t="n">
        <x:v>1</x:v>
      </x:c>
      <x:c r="E27" s="17" t="str">
        <x:v>件</x:v>
      </x:c>
      <x:c r="F27" s="26" t="n">
        <x:v>0</x:v>
      </x:c>
      <x:c r="G27" s="22" t="n">
        <x:f>IF(COUNT(D27,F27)=2,ROUND(D27*(1+F27),4),"缺少输入")</x:f>
        <x:v>1</x:v>
      </x:c>
      <x:c r="H27" s="27" t="n">
        <x:v>2600</x:v>
      </x:c>
      <x:c r="I27" s="24" t="n">
        <x:f>IF(COUNT(G27,H27)=2,ROUND(G27*H27,2),"缺少输入")</x:f>
        <x:v>2600</x:v>
      </x:c>
      <x:c r="J27" s="21" t="str">
        <x:v>按模型对象计量</x:v>
      </x:c>
    </x:row>
    <x:row r="28" ht="32" customHeight="1">
      <x:c r="A28" s="17" t="str">
        <x:v>Q-SEATS</x:v>
      </x:c>
      <x:c r="B28" s="17" t="str">
        <x:v>家具洁具</x:v>
      </x:c>
      <x:c r="C28" s="17" t="str">
        <x:v>餐椅</x:v>
      </x:c>
      <x:c r="D28" s="25" t="n">
        <x:v>4</x:v>
      </x:c>
      <x:c r="E28" s="17" t="str">
        <x:v>把</x:v>
      </x:c>
      <x:c r="F28" s="26" t="n">
        <x:v>0</x:v>
      </x:c>
      <x:c r="G28" s="22" t="n">
        <x:f>IF(COUNT(D28,F28)=2,ROUND(D28*(1+F28),4),"缺少输入")</x:f>
        <x:v>4</x:v>
      </x:c>
      <x:c r="H28" s="27" t="n">
        <x:v>600</x:v>
      </x:c>
      <x:c r="I28" s="24" t="n">
        <x:f>IF(COUNT(G28,H28)=2,ROUND(G28*H28,2),"缺少输入")</x:f>
        <x:v>2400</x:v>
      </x:c>
      <x:c r="J28" s="21" t="str">
        <x:v>按模型对象计量</x:v>
      </x:c>
    </x:row>
    <x:row r="29" ht="32" customHeight="1">
      <x:c r="A29" s="17" t="str">
        <x:v>Q-SOFT</x:v>
      </x:c>
      <x:c r="B29" s="17" t="str">
        <x:v>软装</x:v>
      </x:c>
      <x:c r="C29" s="17" t="str">
        <x:v>窗帘与饰品暂估</x:v>
      </x:c>
      <x:c r="D29" s="25" t="n">
        <x:v>1</x:v>
      </x:c>
      <x:c r="E29" s="17" t="str">
        <x:v>项</x:v>
      </x:c>
      <x:c r="F29" s="26" t="n">
        <x:v>0</x:v>
      </x:c>
      <x:c r="G29" s="22" t="n">
        <x:f>IF(COUNT(D29,F29)=2,ROUND(D29*(1+F29),4),"缺少输入")</x:f>
        <x:v>1</x:v>
      </x:c>
      <x:c r="H29" s="27" t="n">
        <x:v>7000</x:v>
      </x:c>
      <x:c r="I29" s="24" t="n">
        <x:f>IF(COUNT(G29,H29)=2,ROUND(G29*H29,2),"缺少输入")</x:f>
        <x:v>7000</x:v>
      </x:c>
      <x:c r="J29" s="21" t="str">
        <x:v>测试估算包项</x:v>
      </x:c>
    </x:row>
    <x:row r="30" ht="32" customHeight="1">
      <x:c r="A30" s="17" t="str">
        <x:v>Q-SERVICE</x:v>
      </x:c>
      <x:c r="B30" s="17" t="str">
        <x:v>服务</x:v>
      </x:c>
      <x:c r="C30" s="17" t="str">
        <x:v>设计与协调暂估</x:v>
      </x:c>
      <x:c r="D30" s="25" t="n">
        <x:v>1</x:v>
      </x:c>
      <x:c r="E30" s="17" t="str">
        <x:v>项</x:v>
      </x:c>
      <x:c r="F30" s="26" t="n">
        <x:v>0</x:v>
      </x:c>
      <x:c r="G30" s="22" t="n">
        <x:f>IF(COUNT(D30,F30)=2,ROUND(D30*(1+F30),4),"缺少输入")</x:f>
        <x:v>1</x:v>
      </x:c>
      <x:c r="H30" s="27" t="n">
        <x:v>16000</x:v>
      </x:c>
      <x:c r="I30" s="24" t="n">
        <x:f>IF(COUNT(G30,H30)=2,ROUND(G30*H30,2),"缺少输入")</x:f>
        <x:v>16000</x:v>
      </x:c>
      <x:c r="J30" s="21" t="str">
        <x:v>测试预算结构设定</x:v>
      </x:c>
    </x:row>
  </x:sheetData>
  <x:pageMargins left="0.7" right="0.7" top="0.75" bottom="0.75" header="0.3" footer="0.3"/>
</x:worksheet>
</file>