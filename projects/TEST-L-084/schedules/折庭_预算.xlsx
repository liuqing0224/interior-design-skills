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预算总览" sheetId="1" state="visible" r:id="rId1"/>
    <sheet name="工程量计价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12">
    <font>
      <name val="Calibri"/>
      <family val="2"/>
      <color theme="1"/>
      <sz val="11"/>
      <scheme val="minor"/>
    </font>
    <font>
      <name val="Arial"/>
      <color rgb="00263A30"/>
      <sz val="11"/>
    </font>
    <font>
      <name val="Arial"/>
      <color rgb="00263A30"/>
      <sz val="16"/>
    </font>
    <font>
      <name val="Arial"/>
      <color rgb="007D8178"/>
      <sz val="10"/>
    </font>
    <font>
      <name val="Arial"/>
      <b val="1"/>
      <color rgb="00FFFFFF"/>
      <sz val="11"/>
    </font>
    <font>
      <name val="Arial"/>
      <color rgb="001D5CBD"/>
      <sz val="11"/>
    </font>
    <font>
      <name val="Arial"/>
      <b val="1"/>
      <color rgb="00263A30"/>
      <sz val="12"/>
    </font>
    <font>
      <name val="Arial"/>
      <color rgb="00777B70"/>
      <sz val="10"/>
    </font>
    <font>
      <name val="Arial"/>
      <color rgb="0024382E"/>
      <sz val="10"/>
    </font>
    <font>
      <name val="Arial"/>
      <color rgb="00263A30"/>
      <sz val="15"/>
    </font>
    <font>
      <name val="Arial"/>
      <b val="1"/>
      <color rgb="00FFFFFF"/>
      <sz val="10"/>
    </font>
    <font>
      <name val="Arial"/>
      <color rgb="001D5CBD"/>
      <sz val="10"/>
    </font>
  </fonts>
  <fills count="4">
    <fill>
      <patternFill/>
    </fill>
    <fill>
      <patternFill patternType="gray125"/>
    </fill>
    <fill>
      <patternFill patternType="solid">
        <fgColor rgb="00435D4E"/>
      </patternFill>
    </fill>
    <fill>
      <patternFill patternType="solid">
        <fgColor rgb="00E7EBDD"/>
      </patternFill>
    </fill>
  </fills>
  <borders count="2">
    <border>
      <left/>
      <right/>
      <top/>
      <bottom/>
      <diagonal/>
    </border>
    <border>
      <top style="thin">
        <color rgb="00AE9472"/>
      </top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4" fontId="5" fillId="0" borderId="0" pivotButton="0" quotePrefix="0" xfId="0"/>
    <xf numFmtId="0" fontId="7" fillId="0" borderId="0" pivotButton="0" quotePrefix="0" xfId="0"/>
    <xf numFmtId="164" fontId="1" fillId="0" borderId="0" pivotButton="0" quotePrefix="0" xfId="0"/>
    <xf numFmtId="0" fontId="4" fillId="2" borderId="0" pivotButton="0" quotePrefix="0" xfId="0"/>
    <xf numFmtId="4" fontId="1" fillId="0" borderId="0" pivotButton="0" quotePrefix="0" xfId="0"/>
    <xf numFmtId="0" fontId="1" fillId="0" borderId="1" pivotButton="0" quotePrefix="0" xfId="0"/>
    <xf numFmtId="4" fontId="1" fillId="0" borderId="1" pivotButton="0" quotePrefix="0" xfId="0"/>
    <xf numFmtId="0" fontId="6" fillId="3" borderId="0" pivotButton="0" quotePrefix="0" xfId="0"/>
    <xf numFmtId="4" fontId="6" fillId="3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2" borderId="0" pivotButton="0" quotePrefix="0" xfId="0"/>
    <xf numFmtId="165" fontId="11" fillId="0" borderId="0" pivotButton="0" quotePrefix="0" xfId="0"/>
    <xf numFmtId="164" fontId="11" fillId="0" borderId="0" pivotButton="0" quotePrefix="0" xfId="0"/>
    <xf numFmtId="165" fontId="8" fillId="0" borderId="0" pivotButton="0" quotePrefix="0" xfId="0"/>
    <xf numFmtId="4" fontId="11" fillId="0" borderId="0" pivotButton="0" quotePrefix="0" xfId="0"/>
    <xf numFmtId="4" fontId="8" fillId="0" borderId="0" pivotButton="0" quotePrefix="0" xfId="0"/>
    <xf numFmtId="0" fontId="8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ont>
        <b val="1"/>
        <color rgb="00AE3425"/>
      </font>
      <fill>
        <patternFill patternType="solid">
          <fgColor rgb="00F7D8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35D4E"/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20" customWidth="1" min="3" max="3"/>
    <col width="4" customWidth="1" min="4" max="4"/>
    <col width="64" customWidth="1" min="5" max="5"/>
  </cols>
  <sheetData>
    <row r="2">
      <c r="B2" s="1" t="inlineStr">
        <is>
          <t>折庭 室内设计预算</t>
        </is>
      </c>
      <c r="C2" s="2" t="n"/>
      <c r="D2" s="2" t="n"/>
      <c r="E2" s="2" t="n"/>
      <c r="F2" s="2" t="n"/>
    </row>
    <row r="3">
      <c r="B3" s="3" t="inlineStr">
        <is>
          <t>TEST-L-084 / v1.1 / CNY</t>
        </is>
      </c>
      <c r="C3" s="3" t="n"/>
      <c r="D3" s="3" t="n"/>
      <c r="E3" s="3" t="n"/>
      <c r="F3" s="3" t="n"/>
    </row>
    <row r="4">
      <c r="B4" s="2" t="n"/>
      <c r="C4" s="2" t="n"/>
      <c r="D4" s="2" t="n"/>
      <c r="E4" s="2" t="n"/>
      <c r="F4" s="2" t="n"/>
    </row>
    <row r="5" ht="26" customHeight="1">
      <c r="B5" s="2" t="inlineStr">
        <is>
          <t>目标总预算</t>
        </is>
      </c>
      <c r="C5" s="4" t="n">
        <v>220000</v>
      </c>
      <c r="D5" s="2" t="n"/>
      <c r="E5" s="5" t="inlineStr">
        <is>
          <t>蓝色数字为可调整输入</t>
        </is>
      </c>
      <c r="F5" s="2" t="n"/>
    </row>
    <row r="6" ht="26" customHeight="1">
      <c r="B6" s="2" t="inlineStr">
        <is>
          <t>预备费率</t>
        </is>
      </c>
      <c r="C6" s="6" t="n">
        <v>0.1</v>
      </c>
      <c r="D6" s="2" t="n"/>
      <c r="E6" s="5" t="n"/>
      <c r="F6" s="2" t="n"/>
    </row>
    <row r="7">
      <c r="B7" s="2" t="n"/>
      <c r="C7" s="2" t="n"/>
      <c r="D7" s="2" t="n"/>
      <c r="E7" s="5" t="n"/>
      <c r="F7" s="2" t="n"/>
    </row>
    <row r="8">
      <c r="B8" s="2" t="n"/>
      <c r="C8" s="2" t="n"/>
      <c r="D8" s="2" t="n"/>
      <c r="E8" s="5" t="n"/>
      <c r="F8" s="2" t="n"/>
    </row>
    <row r="9" ht="29" customHeight="1">
      <c r="B9" s="7" t="inlineStr">
        <is>
          <t>费用类别</t>
        </is>
      </c>
      <c r="C9" s="7" t="inlineStr">
        <is>
          <t>金额（元）</t>
        </is>
      </c>
      <c r="D9" s="2" t="n"/>
      <c r="E9" s="5" t="n"/>
      <c r="F9" s="2" t="n"/>
    </row>
    <row r="10" ht="27" customHeight="1">
      <c r="B10" s="2" t="inlineStr">
        <is>
          <t>硬装</t>
        </is>
      </c>
      <c r="C10" s="8">
        <f>IF(COUNT('工程量计价'!I5:I30)=26,SUMIFS('工程量计价'!$I$5:$I$30,'工程量计价'!$B$5:$B$30,B10),"缺少计价输入")</f>
        <v>65108.84</v>
      </c>
      <c r="D10" s="2" t="n"/>
      <c r="E10" s="5" t="n"/>
      <c r="F10" s="2" t="n"/>
    </row>
    <row r="11" ht="27" customHeight="1">
      <c r="B11" s="2" t="inlineStr">
        <is>
          <t>定制</t>
        </is>
      </c>
      <c r="C11" s="8">
        <f>IF(COUNT('工程量计价'!I5:I30)=26,SUMIFS('工程量计价'!$I$5:$I$30,'工程量计价'!$B$5:$B$30,B11),"缺少计价输入")</f>
        <v>20296.50</v>
      </c>
      <c r="D11" s="2" t="n"/>
      <c r="E11" s="5" t="n"/>
      <c r="F11" s="2" t="n"/>
    </row>
    <row r="12" ht="27" customHeight="1">
      <c r="B12" s="2" t="inlineStr">
        <is>
          <t>灯具</t>
        </is>
      </c>
      <c r="C12" s="8">
        <f>IF(COUNT('工程量计价'!I5:I30)=26,SUMIFS('工程量计价'!$I$5:$I$30,'工程量计价'!$B$5:$B$30,B12),"缺少计价输入")</f>
        <v>6500.00</v>
      </c>
      <c r="D12" s="2" t="n"/>
      <c r="E12" s="5" t="n"/>
      <c r="F12" s="2" t="n"/>
    </row>
    <row r="13" ht="27" customHeight="1">
      <c r="B13" s="2" t="inlineStr">
        <is>
          <t>机电</t>
        </is>
      </c>
      <c r="C13" s="8">
        <f>IF(COUNT('工程量计价'!I5:I30)=26,SUMIFS('工程量计价'!$I$5:$I$30,'工程量计价'!$B$5:$B$30,B13),"缺少计价输入")</f>
        <v>16400.00</v>
      </c>
      <c r="D13" s="2" t="n"/>
      <c r="E13" s="5" t="n"/>
      <c r="F13" s="2" t="n"/>
    </row>
    <row r="14" ht="27" customHeight="1">
      <c r="B14" s="2" t="inlineStr">
        <is>
          <t>家电设备</t>
        </is>
      </c>
      <c r="C14" s="8">
        <f>IF(COUNT('工程量计价'!I5:I30)=26,SUMIFS('工程量计价'!$I$5:$I$30,'工程量计价'!$B$5:$B$30,B14),"缺少计价输入")</f>
        <v>11400.00</v>
      </c>
      <c r="D14" s="2" t="n"/>
      <c r="E14" s="5" t="n"/>
      <c r="F14" s="2" t="n"/>
    </row>
    <row r="15" ht="27" customHeight="1">
      <c r="B15" s="2" t="inlineStr">
        <is>
          <t>家具洁具</t>
        </is>
      </c>
      <c r="C15" s="8">
        <f>IF(COUNT('工程量计价'!I5:I30)=26,SUMIFS('工程量计价'!$I$5:$I$30,'工程量计价'!$B$5:$B$30,B15),"缺少计价输入")</f>
        <v>22800.00</v>
      </c>
      <c r="D15" s="2" t="n"/>
      <c r="E15" s="5" t="n"/>
      <c r="F15" s="2" t="n"/>
    </row>
    <row r="16" ht="27" customHeight="1">
      <c r="B16" s="2" t="inlineStr">
        <is>
          <t>软装</t>
        </is>
      </c>
      <c r="C16" s="8">
        <f>IF(COUNT('工程量计价'!I5:I30)=26,SUMIFS('工程量计价'!$I$5:$I$30,'工程量计价'!$B$5:$B$30,B16),"缺少计价输入")</f>
        <v>7000.00</v>
      </c>
      <c r="D16" s="2" t="n"/>
      <c r="E16" s="5" t="n"/>
      <c r="F16" s="2" t="n"/>
    </row>
    <row r="17" ht="27" customHeight="1">
      <c r="B17" s="2" t="inlineStr">
        <is>
          <t>服务</t>
        </is>
      </c>
      <c r="C17" s="8">
        <f>IF(COUNT('工程量计价'!I5:I30)=26,SUMIFS('工程量计价'!$I$5:$I$30,'工程量计价'!$B$5:$B$30,B17),"缺少计价输入")</f>
        <v>16000.00</v>
      </c>
      <c r="D17" s="2" t="n"/>
      <c r="E17" s="5" t="n"/>
      <c r="F17" s="2" t="n"/>
    </row>
    <row r="18" ht="27" customHeight="1">
      <c r="B18" s="2" t="n"/>
      <c r="C18" s="8" t="n"/>
      <c r="D18" s="2" t="n"/>
      <c r="E18" s="5" t="n"/>
      <c r="F18" s="2" t="n"/>
    </row>
    <row r="19" ht="27" customHeight="1">
      <c r="B19" s="9" t="inlineStr">
        <is>
          <t>基础费用合计</t>
        </is>
      </c>
      <c r="C19" s="10">
        <f>IF(COUNT('工程量计价'!I5:I30)=COUNTA('工程量计价'!A5:A30),SUM('工程量计价'!I5:I30),"缺少计价输入")</f>
        <v>165505.34</v>
      </c>
      <c r="D19" s="2" t="n"/>
      <c r="E19" s="5" t="inlineStr">
        <is>
          <t>21/26行工程量由模型规则计量；其余为明确输入。</t>
        </is>
      </c>
      <c r="F19" s="2" t="n"/>
    </row>
    <row r="20" ht="27" customHeight="1">
      <c r="B20" s="2" t="inlineStr">
        <is>
          <t>预备费</t>
        </is>
      </c>
      <c r="C20" s="8">
        <f>IF(AND(ISNUMBER(C19),ISNUMBER(C6)),ROUND(C19*C6,2),"缺少计价输入")</f>
        <v>16550.53</v>
      </c>
      <c r="D20" s="2" t="n"/>
      <c r="E20" s="5" t="n"/>
      <c r="F20" s="2" t="n"/>
    </row>
    <row r="21" ht="27" customHeight="1">
      <c r="B21" s="11" t="inlineStr">
        <is>
          <t>含预备费总额</t>
        </is>
      </c>
      <c r="C21" s="12">
        <f>IF(COUNT(C19:C20)=2,SUM(C19:C20),"缺少计价输入")</f>
        <v>182055.87</v>
      </c>
      <c r="D21" s="2" t="n"/>
      <c r="E21" s="5" t="inlineStr">
        <is>
          <t>费用范围以本项目明细为准。</t>
        </is>
      </c>
      <c r="F21" s="2" t="n"/>
    </row>
    <row r="22" ht="27" customHeight="1">
      <c r="B22" s="2" t="inlineStr">
        <is>
          <t>预算余量</t>
        </is>
      </c>
      <c r="C22" s="8">
        <f>IF(AND(ISNUMBER(C5),ISNUMBER(C21)),ROUND(C5-C21,2),"缺少计价输入")</f>
        <v>37944.13</v>
      </c>
      <c r="D22" s="2" t="n"/>
      <c r="E22" s="5" t="n"/>
      <c r="F22" s="2" t="n"/>
    </row>
    <row r="23">
      <c r="B23" s="2" t="n"/>
      <c r="C23" s="2" t="n"/>
      <c r="D23" s="2" t="n"/>
      <c r="E23" s="2" t="n"/>
      <c r="F23" s="2" t="n"/>
    </row>
  </sheetData>
  <conditionalFormatting sqref="C22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E9472"/>
    <outlinePr summaryBelow="1" summaryRight="1"/>
    <pageSetUpPr/>
  </sheetPr>
  <dimension ref="A2:J3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1" customWidth="1" min="3" max="3"/>
    <col width="12" customWidth="1" min="4" max="4"/>
    <col width="9" customWidth="1" min="5" max="5"/>
    <col width="10" customWidth="1" min="6" max="6"/>
    <col width="13" customWidth="1" min="7" max="7"/>
    <col width="15" customWidth="1" min="8" max="8"/>
    <col width="17" customWidth="1" min="9" max="9"/>
    <col width="58" customWidth="1" min="10" max="10"/>
  </cols>
  <sheetData>
    <row r="2">
      <c r="A2" s="13" t="inlineStr">
        <is>
          <t>工程量、损耗与单价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</row>
    <row r="3">
      <c r="A3" s="5" t="inlineStr">
        <is>
          <t>单价为本项目估算输入；净量由当前模型导出，来源和计量口径见J列。</t>
        </is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15" t="inlineStr">
        <is>
          <t>编号</t>
        </is>
      </c>
      <c r="B4" s="15" t="inlineStr">
        <is>
          <t>类别</t>
        </is>
      </c>
      <c r="C4" s="15" t="inlineStr">
        <is>
          <t>工作内容</t>
        </is>
      </c>
      <c r="D4" s="15" t="inlineStr">
        <is>
          <t>净量</t>
        </is>
      </c>
      <c r="E4" s="15" t="inlineStr">
        <is>
          <t>单位</t>
        </is>
      </c>
      <c r="F4" s="15" t="inlineStr">
        <is>
          <t>损耗率</t>
        </is>
      </c>
      <c r="G4" s="15" t="inlineStr">
        <is>
          <t>计价量</t>
        </is>
      </c>
      <c r="H4" s="15" t="inlineStr">
        <is>
          <t>单价（元）</t>
        </is>
      </c>
      <c r="I4" s="15" t="inlineStr">
        <is>
          <t>金额（元）</t>
        </is>
      </c>
      <c r="J4" s="15" t="inlineStr">
        <is>
          <t>计量依据</t>
        </is>
      </c>
    </row>
    <row r="5" ht="32" customHeight="1">
      <c r="A5" s="14" t="inlineStr">
        <is>
          <t>Q-OAK</t>
        </is>
      </c>
      <c r="B5" s="14" t="inlineStr">
        <is>
          <t>硬装</t>
        </is>
      </c>
      <c r="C5" s="14" t="inlineStr">
        <is>
          <t>OAK地面供装</t>
        </is>
      </c>
      <c r="D5" s="16" t="n">
        <v>61.3688</v>
      </c>
      <c r="E5" s="14" t="inlineStr">
        <is>
          <t>㎡</t>
        </is>
      </c>
      <c r="F5" s="17" t="n">
        <v>0.05</v>
      </c>
      <c r="G5" s="18">
        <f>IF(COUNT(D5,F5)=2,ROUND(D5*(1+F5),4),"缺少输入")</f>
        <v>64.4372</v>
      </c>
      <c r="H5" s="19" t="n">
        <v>235</v>
      </c>
      <c r="I5" s="20">
        <f>IF(COUNT(G5,H5)=2,ROUND(G5*H5,2),"缺少输入")</f>
        <v>15142.74</v>
      </c>
      <c r="J5" s="21" t="inlineStr">
        <is>
          <t>净分区面积，柜下满铺；加所列损耗</t>
        </is>
      </c>
    </row>
    <row r="6" ht="32" customHeight="1">
      <c r="A6" s="14" t="inlineStr">
        <is>
          <t>Q-KT</t>
        </is>
      </c>
      <c r="B6" s="14" t="inlineStr">
        <is>
          <t>硬装</t>
        </is>
      </c>
      <c r="C6" s="14" t="inlineStr">
        <is>
          <t>STONE地面供装</t>
        </is>
      </c>
      <c r="D6" s="16" t="n">
        <v>12.384</v>
      </c>
      <c r="E6" s="14" t="inlineStr">
        <is>
          <t>㎡</t>
        </is>
      </c>
      <c r="F6" s="17" t="n">
        <v>0.08</v>
      </c>
      <c r="G6" s="18">
        <f>IF(COUNT(D6,F6)=2,ROUND(D6*(1+F6),4),"缺少输入")</f>
        <v>13.3747</v>
      </c>
      <c r="H6" s="19" t="n">
        <v>245</v>
      </c>
      <c r="I6" s="20">
        <f>IF(COUNT(G6,H6)=2,ROUND(G6*H6,2),"缺少输入")</f>
        <v>3276.80</v>
      </c>
      <c r="J6" s="21" t="inlineStr">
        <is>
          <t>净分区面积，柜下满铺；加所列损耗</t>
        </is>
      </c>
    </row>
    <row r="7" ht="32" customHeight="1">
      <c r="A7" s="14" t="inlineStr">
        <is>
          <t>Q-WET</t>
        </is>
      </c>
      <c r="B7" s="14" t="inlineStr">
        <is>
          <t>硬装</t>
        </is>
      </c>
      <c r="C7" s="14" t="inlineStr">
        <is>
          <t>WET地面供装</t>
        </is>
      </c>
      <c r="D7" s="16" t="n">
        <v>6.76</v>
      </c>
      <c r="E7" s="14" t="inlineStr">
        <is>
          <t>㎡</t>
        </is>
      </c>
      <c r="F7" s="17" t="n">
        <v>0.08</v>
      </c>
      <c r="G7" s="18">
        <f>IF(COUNT(D7,F7)=2,ROUND(D7*(1+F7),4),"缺少输入")</f>
        <v>7.3008</v>
      </c>
      <c r="H7" s="19" t="n">
        <v>250</v>
      </c>
      <c r="I7" s="20">
        <f>IF(COUNT(G7,H7)=2,ROUND(G7*H7,2),"缺少输入")</f>
        <v>1825.20</v>
      </c>
      <c r="J7" s="21" t="inlineStr">
        <is>
          <t>净分区面积，柜下满铺；加所列损耗</t>
        </is>
      </c>
    </row>
    <row r="8" ht="32" customHeight="1">
      <c r="A8" s="14" t="inlineStr">
        <is>
          <t>Q-CEILING</t>
        </is>
      </c>
      <c r="B8" s="14" t="inlineStr">
        <is>
          <t>硬装</t>
        </is>
      </c>
      <c r="C8" s="14" t="inlineStr">
        <is>
          <t>顶面基层与涂装</t>
        </is>
      </c>
      <c r="D8" s="16" t="n">
        <v>80.5128</v>
      </c>
      <c r="E8" s="14" t="inlineStr">
        <is>
          <t>㎡</t>
        </is>
      </c>
      <c r="F8" s="17" t="n">
        <v>0</v>
      </c>
      <c r="G8" s="18">
        <f>IF(COUNT(D8,F8)=2,ROUND(D8*(1+F8),4),"缺少输入")</f>
        <v>80.5128</v>
      </c>
      <c r="H8" s="19" t="n">
        <v>125</v>
      </c>
      <c r="I8" s="20">
        <f>IF(COUNT(G8,H8)=2,ROUND(G8*H8,2),"缺少输入")</f>
        <v>10064.10</v>
      </c>
      <c r="J8" s="21" t="inlineStr">
        <is>
          <t>按模型对象计量</t>
        </is>
      </c>
    </row>
    <row r="9" ht="32" customHeight="1">
      <c r="A9" s="14" t="inlineStr">
        <is>
          <t>Q-DOORS</t>
        </is>
      </c>
      <c r="B9" s="14" t="inlineStr">
        <is>
          <t>硬装</t>
        </is>
      </c>
      <c r="C9" s="14" t="inlineStr">
        <is>
          <t>室内门及五金</t>
        </is>
      </c>
      <c r="D9" s="16" t="n">
        <v>6</v>
      </c>
      <c r="E9" s="14" t="inlineStr">
        <is>
          <t>套</t>
        </is>
      </c>
      <c r="F9" s="17" t="n">
        <v>0</v>
      </c>
      <c r="G9" s="18">
        <f>IF(COUNT(D9,F9)=2,ROUND(D9*(1+F9),4),"缺少输入")</f>
        <v>6.0000</v>
      </c>
      <c r="H9" s="19" t="n">
        <v>2100</v>
      </c>
      <c r="I9" s="20">
        <f>IF(COUNT(G9,H9)=2,ROUND(G9*H9,2),"缺少输入")</f>
        <v>12600.00</v>
      </c>
      <c r="J9" s="21" t="inlineStr">
        <is>
          <t>按模型对象计量</t>
        </is>
      </c>
    </row>
    <row r="10" ht="32" customHeight="1">
      <c r="A10" s="14" t="inlineStr">
        <is>
          <t>Q-PAINT</t>
        </is>
      </c>
      <c r="B10" s="14" t="inlineStr">
        <is>
          <t>硬装</t>
        </is>
      </c>
      <c r="C10" s="14" t="inlineStr">
        <is>
          <t>墙面及湿区基层暂估</t>
        </is>
      </c>
      <c r="D10" s="16" t="n">
        <v>1</v>
      </c>
      <c r="E10" s="14" t="inlineStr">
        <is>
          <t>项</t>
        </is>
      </c>
      <c r="F10" s="17" t="n">
        <v>0</v>
      </c>
      <c r="G10" s="18">
        <f>IF(COUNT(D10,F10)=2,ROUND(D10*(1+F10),4),"缺少输入")</f>
        <v>1.0000</v>
      </c>
      <c r="H10" s="19" t="n">
        <v>18000</v>
      </c>
      <c r="I10" s="20">
        <f>IF(COUNT(G10,H10)=2,ROUND(G10*H10,2),"缺少输入")</f>
        <v>18000.00</v>
      </c>
      <c r="J10" s="21" t="inlineStr">
        <is>
          <t>综合暂估，未建立墙面展开量规则</t>
        </is>
      </c>
    </row>
    <row r="11" ht="32" customHeight="1">
      <c r="A11" s="14" t="inlineStr">
        <is>
          <t>Q-PROTECT</t>
        </is>
      </c>
      <c r="B11" s="14" t="inlineStr">
        <is>
          <t>硬装</t>
        </is>
      </c>
      <c r="C11" s="14" t="inlineStr">
        <is>
          <t>保护与清运</t>
        </is>
      </c>
      <c r="D11" s="16" t="n">
        <v>1</v>
      </c>
      <c r="E11" s="14" t="inlineStr">
        <is>
          <t>项</t>
        </is>
      </c>
      <c r="F11" s="17" t="n">
        <v>0</v>
      </c>
      <c r="G11" s="18">
        <f>IF(COUNT(D11,F11)=2,ROUND(D11*(1+F11),4),"缺少输入")</f>
        <v>1.0000</v>
      </c>
      <c r="H11" s="19" t="n">
        <v>4200</v>
      </c>
      <c r="I11" s="20">
        <f>IF(COUNT(G11,H11)=2,ROUND(G11*H11,2),"缺少输入")</f>
        <v>4200.00</v>
      </c>
      <c r="J11" s="21" t="inlineStr">
        <is>
          <t>测试估算包项</t>
        </is>
      </c>
    </row>
    <row r="12" ht="32" customHeight="1">
      <c r="A12" s="14" t="inlineStr">
        <is>
          <t>Q-CAB-A</t>
        </is>
      </c>
      <c r="B12" s="14" t="inlineStr">
        <is>
          <t>定制</t>
        </is>
      </c>
      <c r="C12" s="14" t="inlineStr">
        <is>
          <t>CAB-A柜体</t>
        </is>
      </c>
      <c r="D12" s="16" t="n">
        <v>6.37</v>
      </c>
      <c r="E12" s="14" t="inlineStr">
        <is>
          <t>㎡</t>
        </is>
      </c>
      <c r="F12" s="17" t="n">
        <v>0</v>
      </c>
      <c r="G12" s="18">
        <f>IF(COUNT(D12,F12)=2,ROUND(D12*(1+F12),4),"缺少输入")</f>
        <v>6.3700</v>
      </c>
      <c r="H12" s="19" t="n">
        <v>1050</v>
      </c>
      <c r="I12" s="20">
        <f>IF(COUNT(G12,H12)=2,ROUND(G12*H12,2),"缺少输入")</f>
        <v>6688.50</v>
      </c>
      <c r="J12" s="21" t="inlineStr">
        <is>
          <t>front_axis正面宽度×高度；含板材五金</t>
        </is>
      </c>
    </row>
    <row r="13" ht="32" customHeight="1">
      <c r="A13" s="14" t="inlineStr">
        <is>
          <t>Q-SIDE-A</t>
        </is>
      </c>
      <c r="B13" s="14" t="inlineStr">
        <is>
          <t>定制</t>
        </is>
      </c>
      <c r="C13" s="14" t="inlineStr">
        <is>
          <t>SIDE-A柜体</t>
        </is>
      </c>
      <c r="D13" s="16" t="n">
        <v>2.2</v>
      </c>
      <c r="E13" s="14" t="inlineStr">
        <is>
          <t>㎡</t>
        </is>
      </c>
      <c r="F13" s="17" t="n">
        <v>0</v>
      </c>
      <c r="G13" s="18">
        <f>IF(COUNT(D13,F13)=2,ROUND(D13*(1+F13),4),"缺少输入")</f>
        <v>2.2000</v>
      </c>
      <c r="H13" s="19" t="n">
        <v>900</v>
      </c>
      <c r="I13" s="20">
        <f>IF(COUNT(G13,H13)=2,ROUND(G13*H13,2),"缺少输入")</f>
        <v>1980.00</v>
      </c>
      <c r="J13" s="21" t="inlineStr">
        <is>
          <t>front_axis正面宽度×高度；含板材五金</t>
        </is>
      </c>
    </row>
    <row r="14" ht="32" customHeight="1">
      <c r="A14" s="14" t="inlineStr">
        <is>
          <t>Q-TV-LOW</t>
        </is>
      </c>
      <c r="B14" s="14" t="inlineStr">
        <is>
          <t>定制</t>
        </is>
      </c>
      <c r="C14" s="14" t="inlineStr">
        <is>
          <t>TV-LOW柜体</t>
        </is>
      </c>
      <c r="D14" s="16" t="n">
        <v>1.32</v>
      </c>
      <c r="E14" s="14" t="inlineStr">
        <is>
          <t>㎡</t>
        </is>
      </c>
      <c r="F14" s="17" t="n">
        <v>0</v>
      </c>
      <c r="G14" s="18">
        <f>IF(COUNT(D14,F14)=2,ROUND(D14*(1+F14),4),"缺少输入")</f>
        <v>1.3200</v>
      </c>
      <c r="H14" s="19" t="n">
        <v>900</v>
      </c>
      <c r="I14" s="20">
        <f>IF(COUNT(G14,H14)=2,ROUND(G14*H14,2),"缺少输入")</f>
        <v>1188.00</v>
      </c>
      <c r="J14" s="21" t="inlineStr">
        <is>
          <t>front_axis正面宽度×高度；含板材五金</t>
        </is>
      </c>
    </row>
    <row r="15" ht="32" customHeight="1">
      <c r="A15" s="14" t="inlineStr">
        <is>
          <t>Q-KT-BASE</t>
        </is>
      </c>
      <c r="B15" s="14" t="inlineStr">
        <is>
          <t>定制</t>
        </is>
      </c>
      <c r="C15" s="14" t="inlineStr">
        <is>
          <t>KT-BASE柜体及台面</t>
        </is>
      </c>
      <c r="D15" s="16" t="n">
        <v>2.4</v>
      </c>
      <c r="E15" s="14" t="inlineStr">
        <is>
          <t>m</t>
        </is>
      </c>
      <c r="F15" s="17" t="n">
        <v>0</v>
      </c>
      <c r="G15" s="18">
        <f>IF(COUNT(D15,F15)=2,ROUND(D15*(1+F15),4),"缺少输入")</f>
        <v>2.4000</v>
      </c>
      <c r="H15" s="19" t="n">
        <v>3000</v>
      </c>
      <c r="I15" s="20">
        <f>IF(COUNT(G15,H15)=2,ROUND(G15*H15,2),"缺少输入")</f>
        <v>7200.00</v>
      </c>
      <c r="J15" s="21" t="inlineStr">
        <is>
          <t>沿front_axis正面长度，非最大包围边默认值</t>
        </is>
      </c>
    </row>
    <row r="16" ht="32" customHeight="1">
      <c r="A16" s="14" t="inlineStr">
        <is>
          <t>Q-VANITY</t>
        </is>
      </c>
      <c r="B16" s="14" t="inlineStr">
        <is>
          <t>定制</t>
        </is>
      </c>
      <c r="C16" s="14" t="inlineStr">
        <is>
          <t>VANITY柜体及台面</t>
        </is>
      </c>
      <c r="D16" s="16" t="n">
        <v>1.2</v>
      </c>
      <c r="E16" s="14" t="inlineStr">
        <is>
          <t>m</t>
        </is>
      </c>
      <c r="F16" s="17" t="n">
        <v>0</v>
      </c>
      <c r="G16" s="18">
        <f>IF(COUNT(D16,F16)=2,ROUND(D16*(1+F16),4),"缺少输入")</f>
        <v>1.2000</v>
      </c>
      <c r="H16" s="19" t="n">
        <v>2700</v>
      </c>
      <c r="I16" s="20">
        <f>IF(COUNT(G16,H16)=2,ROUND(G16*H16,2),"缺少输入")</f>
        <v>3240.00</v>
      </c>
      <c r="J16" s="21" t="inlineStr">
        <is>
          <t>沿front_axis正面长度，非最大包围边默认值</t>
        </is>
      </c>
    </row>
    <row r="17" ht="32" customHeight="1">
      <c r="A17" s="14" t="inlineStr">
        <is>
          <t>Q-LAMPS</t>
        </is>
      </c>
      <c r="B17" s="14" t="inlineStr">
        <is>
          <t>灯具</t>
        </is>
      </c>
      <c r="C17" s="14" t="inlineStr">
        <is>
          <t>灯具与驱动</t>
        </is>
      </c>
      <c r="D17" s="16" t="n">
        <v>10</v>
      </c>
      <c r="E17" s="14" t="inlineStr">
        <is>
          <t>盏</t>
        </is>
      </c>
      <c r="F17" s="17" t="n">
        <v>0</v>
      </c>
      <c r="G17" s="18">
        <f>IF(COUNT(D17,F17)=2,ROUND(D17*(1+F17),4),"缺少输入")</f>
        <v>10.0000</v>
      </c>
      <c r="H17" s="19" t="n">
        <v>650</v>
      </c>
      <c r="I17" s="20">
        <f>IF(COUNT(G17,H17)=2,ROUND(G17*H17,2),"缺少输入")</f>
        <v>6500.00</v>
      </c>
      <c r="J17" s="21" t="inlineStr">
        <is>
          <t>按模型对象计量</t>
        </is>
      </c>
    </row>
    <row r="18" ht="32" customHeight="1">
      <c r="A18" s="14" t="inlineStr">
        <is>
          <t>Q-POINTS</t>
        </is>
      </c>
      <c r="B18" s="14" t="inlineStr">
        <is>
          <t>机电</t>
        </is>
      </c>
      <c r="C18" s="14" t="inlineStr">
        <is>
          <t>条件点位施工暂估</t>
        </is>
      </c>
      <c r="D18" s="16" t="n">
        <v>4</v>
      </c>
      <c r="E18" s="14" t="inlineStr">
        <is>
          <t>点</t>
        </is>
      </c>
      <c r="F18" s="17" t="n">
        <v>0</v>
      </c>
      <c r="G18" s="18">
        <f>IF(COUNT(D18,F18)=2,ROUND(D18*(1+F18),4),"缺少输入")</f>
        <v>4.0000</v>
      </c>
      <c r="H18" s="19" t="n">
        <v>600</v>
      </c>
      <c r="I18" s="20">
        <f>IF(COUNT(G18,H18)=2,ROUND(G18*H18,2),"缺少输入")</f>
        <v>2400.00</v>
      </c>
      <c r="J18" s="21" t="inlineStr">
        <is>
          <t>每个条件点暂估，系统深化费用另列</t>
        </is>
      </c>
    </row>
    <row r="19" ht="32" customHeight="1">
      <c r="A19" s="14" t="inlineStr">
        <is>
          <t>Q-MEP</t>
        </is>
      </c>
      <c r="B19" s="14" t="inlineStr">
        <is>
          <t>机电</t>
        </is>
      </c>
      <c r="C19" s="14" t="inlineStr">
        <is>
          <t>管线及系统深化暂估</t>
        </is>
      </c>
      <c r="D19" s="16" t="n">
        <v>1</v>
      </c>
      <c r="E19" s="14" t="inlineStr">
        <is>
          <t>项</t>
        </is>
      </c>
      <c r="F19" s="17" t="n">
        <v>0</v>
      </c>
      <c r="G19" s="18">
        <f>IF(COUNT(D19,F19)=2,ROUND(D19*(1+F19),4),"缺少输入")</f>
        <v>1.0000</v>
      </c>
      <c r="H19" s="19" t="n">
        <v>14000</v>
      </c>
      <c r="I19" s="20">
        <f>IF(COUNT(G19,H19)=2,ROUND(G19*H19,2),"缺少输入")</f>
        <v>14000.00</v>
      </c>
      <c r="J19" s="21" t="inlineStr">
        <is>
          <t>不重复点位；测试估算包项</t>
        </is>
      </c>
    </row>
    <row r="20" ht="32" customHeight="1">
      <c r="A20" s="14" t="inlineStr">
        <is>
          <t>Q-EQUIP</t>
        </is>
      </c>
      <c r="B20" s="14" t="inlineStr">
        <is>
          <t>家电设备</t>
        </is>
      </c>
      <c r="C20" s="14" t="inlineStr">
        <is>
          <t>设备采购供装暂估</t>
        </is>
      </c>
      <c r="D20" s="16" t="n">
        <v>3</v>
      </c>
      <c r="E20" s="14" t="inlineStr">
        <is>
          <t>台</t>
        </is>
      </c>
      <c r="F20" s="17" t="n">
        <v>0</v>
      </c>
      <c r="G20" s="18">
        <f>IF(COUNT(D20,F20)=2,ROUND(D20*(1+F20),4),"缺少输入")</f>
        <v>3.0000</v>
      </c>
      <c r="H20" s="19" t="n">
        <v>3800</v>
      </c>
      <c r="I20" s="20">
        <f>IF(COUNT(G20,H20)=2,ROUND(G20*H20,2),"缺少输入")</f>
        <v>11400.00</v>
      </c>
      <c r="J20" s="21" t="inlineStr">
        <is>
          <t>每台测试统一估算；不代表选型报价</t>
        </is>
      </c>
    </row>
    <row r="21" ht="32" customHeight="1">
      <c r="A21" s="14" t="inlineStr">
        <is>
          <t>Q-SOFA-A</t>
        </is>
      </c>
      <c r="B21" s="14" t="inlineStr">
        <is>
          <t>家具洁具</t>
        </is>
      </c>
      <c r="C21" s="14" t="inlineStr">
        <is>
          <t>双人沙发</t>
        </is>
      </c>
      <c r="D21" s="16" t="n">
        <v>1</v>
      </c>
      <c r="E21" s="14" t="inlineStr">
        <is>
          <t>件</t>
        </is>
      </c>
      <c r="F21" s="17" t="n">
        <v>0</v>
      </c>
      <c r="G21" s="18">
        <f>IF(COUNT(D21,F21)=2,ROUND(D21*(1+F21),4),"缺少输入")</f>
        <v>1.0000</v>
      </c>
      <c r="H21" s="19" t="n">
        <v>5500</v>
      </c>
      <c r="I21" s="20">
        <f>IF(COUNT(G21,H21)=2,ROUND(G21*H21,2),"缺少输入")</f>
        <v>5500.00</v>
      </c>
      <c r="J21" s="21" t="inlineStr">
        <is>
          <t>按模型对象计量</t>
        </is>
      </c>
    </row>
    <row r="22" ht="32" customHeight="1">
      <c r="A22" s="14" t="inlineStr">
        <is>
          <t>Q-TABLE-C</t>
        </is>
      </c>
      <c r="B22" s="14" t="inlineStr">
        <is>
          <t>家具洁具</t>
        </is>
      </c>
      <c r="C22" s="14" t="inlineStr">
        <is>
          <t>茶几</t>
        </is>
      </c>
      <c r="D22" s="16" t="n">
        <v>1</v>
      </c>
      <c r="E22" s="14" t="inlineStr">
        <is>
          <t>件</t>
        </is>
      </c>
      <c r="F22" s="17" t="n">
        <v>0</v>
      </c>
      <c r="G22" s="18">
        <f>IF(COUNT(D22,F22)=2,ROUND(D22*(1+F22),4),"缺少输入")</f>
        <v>1.0000</v>
      </c>
      <c r="H22" s="19" t="n">
        <v>1800</v>
      </c>
      <c r="I22" s="20">
        <f>IF(COUNT(G22,H22)=2,ROUND(G22*H22,2),"缺少输入")</f>
        <v>1800.00</v>
      </c>
      <c r="J22" s="21" t="inlineStr">
        <is>
          <t>按模型对象计量</t>
        </is>
      </c>
    </row>
    <row r="23" ht="32" customHeight="1">
      <c r="A23" s="14" t="inlineStr">
        <is>
          <t>Q-DINING</t>
        </is>
      </c>
      <c r="B23" s="14" t="inlineStr">
        <is>
          <t>家具洁具</t>
        </is>
      </c>
      <c r="C23" s="14" t="inlineStr">
        <is>
          <t>餐桌</t>
        </is>
      </c>
      <c r="D23" s="16" t="n">
        <v>1</v>
      </c>
      <c r="E23" s="14" t="inlineStr">
        <is>
          <t>件</t>
        </is>
      </c>
      <c r="F23" s="17" t="n">
        <v>0</v>
      </c>
      <c r="G23" s="18">
        <f>IF(COUNT(D23,F23)=2,ROUND(D23*(1+F23),4),"缺少输入")</f>
        <v>1.0000</v>
      </c>
      <c r="H23" s="19" t="n">
        <v>3000</v>
      </c>
      <c r="I23" s="20">
        <f>IF(COUNT(G23,H23)=2,ROUND(G23*H23,2),"缺少输入")</f>
        <v>3000.00</v>
      </c>
      <c r="J23" s="21" t="inlineStr">
        <is>
          <t>按模型对象计量</t>
        </is>
      </c>
    </row>
    <row r="24" ht="32" customHeight="1">
      <c r="A24" s="14" t="inlineStr">
        <is>
          <t>Q-BED-A</t>
        </is>
      </c>
      <c r="B24" s="14" t="inlineStr">
        <is>
          <t>家具洁具</t>
        </is>
      </c>
      <c r="C24" s="14" t="inlineStr">
        <is>
          <t>床及床垫</t>
        </is>
      </c>
      <c r="D24" s="16" t="n">
        <v>1</v>
      </c>
      <c r="E24" s="14" t="inlineStr">
        <is>
          <t>件</t>
        </is>
      </c>
      <c r="F24" s="17" t="n">
        <v>0</v>
      </c>
      <c r="G24" s="18">
        <f>IF(COUNT(D24,F24)=2,ROUND(D24*(1+F24),4),"缺少输入")</f>
        <v>1.0000</v>
      </c>
      <c r="H24" s="19" t="n">
        <v>4800</v>
      </c>
      <c r="I24" s="20">
        <f>IF(COUNT(G24,H24)=2,ROUND(G24*H24,2),"缺少输入")</f>
        <v>4800.00</v>
      </c>
      <c r="J24" s="21" t="inlineStr">
        <is>
          <t>按模型对象计量</t>
        </is>
      </c>
    </row>
    <row r="25" ht="32" customHeight="1">
      <c r="A25" s="14" t="inlineStr">
        <is>
          <t>Q-DESK-A</t>
        </is>
      </c>
      <c r="B25" s="14" t="inlineStr">
        <is>
          <t>家具洁具</t>
        </is>
      </c>
      <c r="C25" s="14" t="inlineStr">
        <is>
          <t>工作桌</t>
        </is>
      </c>
      <c r="D25" s="16" t="n">
        <v>1</v>
      </c>
      <c r="E25" s="14" t="inlineStr">
        <is>
          <t>件</t>
        </is>
      </c>
      <c r="F25" s="17" t="n">
        <v>0</v>
      </c>
      <c r="G25" s="18">
        <f>IF(COUNT(D25,F25)=2,ROUND(D25*(1+F25),4),"缺少输入")</f>
        <v>1.0000</v>
      </c>
      <c r="H25" s="19" t="n">
        <v>1800</v>
      </c>
      <c r="I25" s="20">
        <f>IF(COUNT(G25,H25)=2,ROUND(G25*H25,2),"缺少输入")</f>
        <v>1800.00</v>
      </c>
      <c r="J25" s="21" t="inlineStr">
        <is>
          <t>按模型对象计量</t>
        </is>
      </c>
    </row>
    <row r="26" ht="32" customHeight="1">
      <c r="A26" s="14" t="inlineStr">
        <is>
          <t>Q-CHAIR-A</t>
        </is>
      </c>
      <c r="B26" s="14" t="inlineStr">
        <is>
          <t>家具洁具</t>
        </is>
      </c>
      <c r="C26" s="14" t="inlineStr">
        <is>
          <t>工作椅</t>
        </is>
      </c>
      <c r="D26" s="16" t="n">
        <v>1</v>
      </c>
      <c r="E26" s="14" t="inlineStr">
        <is>
          <t>件</t>
        </is>
      </c>
      <c r="F26" s="17" t="n">
        <v>0</v>
      </c>
      <c r="G26" s="18">
        <f>IF(COUNT(D26,F26)=2,ROUND(D26*(1+F26),4),"缺少输入")</f>
        <v>1.0000</v>
      </c>
      <c r="H26" s="19" t="n">
        <v>900</v>
      </c>
      <c r="I26" s="20">
        <f>IF(COUNT(G26,H26)=2,ROUND(G26*H26,2),"缺少输入")</f>
        <v>900.00</v>
      </c>
      <c r="J26" s="21" t="inlineStr">
        <is>
          <t>按模型对象计量</t>
        </is>
      </c>
    </row>
    <row r="27" ht="32" customHeight="1">
      <c r="A27" s="14" t="inlineStr">
        <is>
          <t>Q-WC-A</t>
        </is>
      </c>
      <c r="B27" s="14" t="inlineStr">
        <is>
          <t>家具洁具</t>
        </is>
      </c>
      <c r="C27" s="14" t="inlineStr">
        <is>
          <t>坐便器</t>
        </is>
      </c>
      <c r="D27" s="16" t="n">
        <v>1</v>
      </c>
      <c r="E27" s="14" t="inlineStr">
        <is>
          <t>件</t>
        </is>
      </c>
      <c r="F27" s="17" t="n">
        <v>0</v>
      </c>
      <c r="G27" s="18">
        <f>IF(COUNT(D27,F27)=2,ROUND(D27*(1+F27),4),"缺少输入")</f>
        <v>1.0000</v>
      </c>
      <c r="H27" s="19" t="n">
        <v>2600</v>
      </c>
      <c r="I27" s="20">
        <f>IF(COUNT(G27,H27)=2,ROUND(G27*H27,2),"缺少输入")</f>
        <v>2600.00</v>
      </c>
      <c r="J27" s="21" t="inlineStr">
        <is>
          <t>按模型对象计量</t>
        </is>
      </c>
    </row>
    <row r="28" ht="32" customHeight="1">
      <c r="A28" s="14" t="inlineStr">
        <is>
          <t>Q-SEATS</t>
        </is>
      </c>
      <c r="B28" s="14" t="inlineStr">
        <is>
          <t>家具洁具</t>
        </is>
      </c>
      <c r="C28" s="14" t="inlineStr">
        <is>
          <t>餐椅</t>
        </is>
      </c>
      <c r="D28" s="16" t="n">
        <v>4</v>
      </c>
      <c r="E28" s="14" t="inlineStr">
        <is>
          <t>把</t>
        </is>
      </c>
      <c r="F28" s="17" t="n">
        <v>0</v>
      </c>
      <c r="G28" s="18">
        <f>IF(COUNT(D28,F28)=2,ROUND(D28*(1+F28),4),"缺少输入")</f>
        <v>4.0000</v>
      </c>
      <c r="H28" s="19" t="n">
        <v>600</v>
      </c>
      <c r="I28" s="20">
        <f>IF(COUNT(G28,H28)=2,ROUND(G28*H28,2),"缺少输入")</f>
        <v>2400.00</v>
      </c>
      <c r="J28" s="21" t="inlineStr">
        <is>
          <t>按模型对象计量</t>
        </is>
      </c>
    </row>
    <row r="29" ht="32" customHeight="1">
      <c r="A29" s="14" t="inlineStr">
        <is>
          <t>Q-SOFT</t>
        </is>
      </c>
      <c r="B29" s="14" t="inlineStr">
        <is>
          <t>软装</t>
        </is>
      </c>
      <c r="C29" s="14" t="inlineStr">
        <is>
          <t>窗帘与饰品暂估</t>
        </is>
      </c>
      <c r="D29" s="16" t="n">
        <v>1</v>
      </c>
      <c r="E29" s="14" t="inlineStr">
        <is>
          <t>项</t>
        </is>
      </c>
      <c r="F29" s="17" t="n">
        <v>0</v>
      </c>
      <c r="G29" s="18">
        <f>IF(COUNT(D29,F29)=2,ROUND(D29*(1+F29),4),"缺少输入")</f>
        <v>1.0000</v>
      </c>
      <c r="H29" s="19" t="n">
        <v>7000</v>
      </c>
      <c r="I29" s="20">
        <f>IF(COUNT(G29,H29)=2,ROUND(G29*H29,2),"缺少输入")</f>
        <v>7000.00</v>
      </c>
      <c r="J29" s="21" t="inlineStr">
        <is>
          <t>测试估算包项</t>
        </is>
      </c>
    </row>
    <row r="30" ht="32" customHeight="1">
      <c r="A30" s="14" t="inlineStr">
        <is>
          <t>Q-SERVICE</t>
        </is>
      </c>
      <c r="B30" s="14" t="inlineStr">
        <is>
          <t>服务</t>
        </is>
      </c>
      <c r="C30" s="14" t="inlineStr">
        <is>
          <t>设计与协调暂估</t>
        </is>
      </c>
      <c r="D30" s="16" t="n">
        <v>1</v>
      </c>
      <c r="E30" s="14" t="inlineStr">
        <is>
          <t>项</t>
        </is>
      </c>
      <c r="F30" s="17" t="n">
        <v>0</v>
      </c>
      <c r="G30" s="18">
        <f>IF(COUNT(D30,F30)=2,ROUND(D30*(1+F30),4),"缺少输入")</f>
        <v>1.0000</v>
      </c>
      <c r="H30" s="19" t="n">
        <v>16000</v>
      </c>
      <c r="I30" s="20">
        <f>IF(COUNT(G30,H30)=2,ROUND(G30*H30,2),"缺少输入")</f>
        <v>16000.00</v>
      </c>
      <c r="J30" s="21" t="inlineStr">
        <is>
          <t>测试预算结构设定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2026-10-28T09:59:00Z</dcterms:created>
  <dcterms:modified xsi:type="dcterms:W3CDTF">2026-10-28T09:59:00Z</dcterms:modified>
</cp:coreProperties>
</file>